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loris.Gunter\.cursor\projects\projectkompas\data\dummy_data\"/>
    </mc:Choice>
  </mc:AlternateContent>
  <xr:revisionPtr revIDLastSave="0" documentId="13_ncr:1_{E8BFEB3B-594A-417F-900B-03B92E3E3D10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Aanvraagformulier" sheetId="6" r:id="rId1"/>
    <sheet name="Toetscriteria" sheetId="7" r:id="rId2"/>
    <sheet name="Gegevensblad" sheetId="3" state="hidden" r:id="rId3"/>
  </sheets>
  <definedNames>
    <definedName name="_xlnm._FilterDatabase" localSheetId="0" hidden="1">Aanvraagformulier!#REF!</definedName>
    <definedName name="_xlnm.Print_Area" localSheetId="0">Aanvraagformulier!$A$1:$M$80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3" i="6" l="1"/>
  <c r="C32" i="6"/>
  <c r="D13" i="3" l="1"/>
  <c r="T35" i="3" a="1"/>
  <c r="T23" i="3" a="1"/>
  <c r="V5" i="3" a="1"/>
  <c r="T23" i="3" l="1"/>
  <c r="V5" i="3"/>
  <c r="T3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Kuijer, R (Renée)</author>
    <author>Elsendoorn, MTLM (Marcel)</author>
    <author>Blij, MI van der (Maam)</author>
  </authors>
  <commentList>
    <comment ref="B29" authorId="0" shapeId="0" xr:uid="{F9C3C2DD-6578-4673-8D51-AA56FD6CAA5C}">
      <text>
        <r>
          <rPr>
            <sz val="9"/>
            <color indexed="81"/>
            <rFont val="Tahoma"/>
            <family val="2"/>
          </rPr>
          <t>De gekozen optie is input voor het veld 'Vervolg stappen'</t>
        </r>
      </text>
    </comment>
    <comment ref="B30" authorId="0" shapeId="0" xr:uid="{21A88776-1D87-4AE3-9E73-C6C40505885A}">
      <text>
        <r>
          <rPr>
            <sz val="9"/>
            <color indexed="81"/>
            <rFont val="Tahoma"/>
            <family val="2"/>
          </rPr>
          <t>In dit veld kun je het bedrag invullen van de verwachte omvang van het uiteindelijke project</t>
        </r>
      </text>
    </comment>
    <comment ref="B31" authorId="1" shapeId="0" xr:uid="{2AD7A0C8-3557-4A2B-B065-1EFB901B99C1}">
      <text>
        <r>
          <rPr>
            <b/>
            <sz val="9"/>
            <color indexed="81"/>
            <rFont val="Tahoma"/>
            <family val="2"/>
          </rPr>
          <t>Elsendoorn, MTLM (Marcel):</t>
        </r>
        <r>
          <rPr>
            <sz val="9"/>
            <color indexed="81"/>
            <rFont val="Tahoma"/>
            <family val="2"/>
          </rPr>
          <t xml:space="preserve">
Wanneer er sprake is van enkel de verkenning en er later nog een defitieve aanvraag komt, hier het verkenningsbudget vermelden en ook de projectnaam (vraag 5) aanpassen!</t>
        </r>
      </text>
    </comment>
    <comment ref="F47" authorId="2" shapeId="0" xr:uid="{0E5DF25C-5E95-4CA6-82AC-E6AF4497D294}">
      <text>
        <r>
          <rPr>
            <b/>
            <sz val="9"/>
            <color indexed="81"/>
            <rFont val="Tahoma"/>
            <family val="2"/>
          </rPr>
          <t>Wanneer alleen de kwartaal bekend is, graag eerste maand kwartaal invoeren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<sst xmlns="http://schemas.openxmlformats.org/spreadsheetml/2006/main" count="550" uniqueCount="361">
  <si>
    <r>
      <t xml:space="preserve">Formulier Aanvraag Programma/Project </t>
    </r>
    <r>
      <rPr>
        <i/>
        <sz val="14"/>
        <color rgb="FF000000"/>
        <rFont val="Calibri"/>
        <family val="2"/>
      </rPr>
      <t>(= IBC voor Kernproces Startbeslissing)</t>
    </r>
  </si>
  <si>
    <r>
      <rPr>
        <b/>
        <i/>
        <sz val="12"/>
        <color rgb="FF92D050"/>
        <rFont val="Calibri"/>
        <family val="2"/>
      </rPr>
      <t>Met dit formulier wordt tevens het toewijzingsproces voor een programma-/projectmanager gestart voor het aangevraagde Kernproces programma/project en een SAP nummer (R-xxxxxx) toegekend!</t>
    </r>
    <r>
      <rPr>
        <i/>
        <sz val="12"/>
        <color rgb="FF000000"/>
        <rFont val="Calibri"/>
        <family val="2"/>
      </rPr>
      <t xml:space="preserve">
Indien u </t>
    </r>
    <r>
      <rPr>
        <b/>
        <i/>
        <sz val="12"/>
        <color rgb="FFE26B0A"/>
        <rFont val="Calibri"/>
        <family val="2"/>
      </rPr>
      <t>resources nodig</t>
    </r>
    <r>
      <rPr>
        <i/>
        <sz val="12"/>
        <color rgb="FF000000"/>
        <rFont val="Calibri"/>
        <family val="2"/>
      </rPr>
      <t xml:space="preserve"> heeft </t>
    </r>
    <r>
      <rPr>
        <b/>
        <i/>
        <sz val="12"/>
        <color rgb="FFE26B0A"/>
        <rFont val="Calibri"/>
        <family val="2"/>
      </rPr>
      <t>voor andere activiteiten</t>
    </r>
    <r>
      <rPr>
        <i/>
        <sz val="12"/>
        <color rgb="FF000000"/>
        <rFont val="Calibri"/>
        <family val="2"/>
      </rPr>
      <t xml:space="preserve"> (bijvoorbeeld vraagarticulatie/planvorming activiteiten) maar (nog) </t>
    </r>
    <r>
      <rPr>
        <b/>
        <i/>
        <sz val="12"/>
        <color rgb="FFE26B0A"/>
        <rFont val="Calibri"/>
        <family val="2"/>
      </rPr>
      <t>GEEN aanvraag programma/project (conform Kernproces)</t>
    </r>
    <r>
      <rPr>
        <i/>
        <sz val="12"/>
        <color rgb="FF000000"/>
        <rFont val="Calibri"/>
        <family val="2"/>
      </rPr>
      <t xml:space="preserve">wilt indienen, gebruik dan het formulier: </t>
    </r>
    <r>
      <rPr>
        <b/>
        <i/>
        <sz val="12"/>
        <color rgb="FFE26B0A"/>
        <rFont val="Calibri"/>
        <family val="2"/>
      </rPr>
      <t>Formulier mutatie/aanvraag capaciteit (benodigd voor deze aanvraag: SAP nummer voor urenschrijven)</t>
    </r>
    <r>
      <rPr>
        <i/>
        <sz val="12"/>
        <color rgb="FF000000"/>
        <rFont val="Calibri"/>
        <family val="2"/>
      </rPr>
      <t xml:space="preserve"> Vragen? Lees eerst de toelichting (staat naast dit formulier op Sharepoint Productieloket, bijgaand de link: https://prorailbv.sharepoint.com/teams/T2016_0167/Formulieren/Forms/AllItems.aspx. U kunt ons ook altijd bellen/mailen, we helpen u graag verder.</t>
    </r>
  </si>
  <si>
    <t>Documenteigenaar: Marcel Elsendoorn</t>
  </si>
  <si>
    <t>Versie: 24 maart 2026</t>
  </si>
  <si>
    <t>Formulier toesturen naar: Productieloket@prorail.nl</t>
  </si>
  <si>
    <t>Algemeen :</t>
  </si>
  <si>
    <t>1.</t>
  </si>
  <si>
    <t>Naam indiener</t>
  </si>
  <si>
    <t>Luc ter Horst</t>
  </si>
  <si>
    <t>2.</t>
  </si>
  <si>
    <t>Datum aanvraag</t>
  </si>
  <si>
    <t>3.</t>
  </si>
  <si>
    <t>Wie is de interne/externe opdrachtgever?</t>
  </si>
  <si>
    <t>Mitch de Man</t>
  </si>
  <si>
    <t>4.</t>
  </si>
  <si>
    <t>Type aanvraag (project/programma/verkenning)</t>
  </si>
  <si>
    <t>Project</t>
  </si>
  <si>
    <t>5.</t>
  </si>
  <si>
    <t>Projectnaam</t>
  </si>
  <si>
    <t>Spoorvernieuwing Amersfoort - Hilversum</t>
  </si>
  <si>
    <t>6.</t>
  </si>
  <si>
    <t>Is voor dit project/programma een behandelbeslissing genomen?</t>
  </si>
  <si>
    <t>Nee</t>
  </si>
  <si>
    <t>Indien deze vraag met "ja" is beantwoord, vul het KV-nummer in.</t>
  </si>
  <si>
    <t>KV-Nummer:</t>
  </si>
  <si>
    <t>7.</t>
  </si>
  <si>
    <t>Portefeuille (Gebied, GSPP, O&amp;P, Stations)</t>
  </si>
  <si>
    <t>Randstad-Noord (O9004)</t>
  </si>
  <si>
    <t>Gemeente</t>
  </si>
  <si>
    <t>Amersfoort</t>
  </si>
  <si>
    <t>Stationsnaam (indien van toepassing)</t>
  </si>
  <si>
    <t>Amersfoort Centraal</t>
  </si>
  <si>
    <t>GEO-code</t>
  </si>
  <si>
    <t>8.</t>
  </si>
  <si>
    <t>Werkstroom: Op welke portefeuille heeft project (m.n.) betrekking?
Toelichting werkstromen Derdenwerken: zie procedure Derdenwerken d.d. 1-2-2022.
Deze vindt u op ons SharePoint bij dit aanvraagformulier.</t>
  </si>
  <si>
    <t>F. Functiehandhaving AM / Productieplan</t>
  </si>
  <si>
    <t>9.</t>
  </si>
  <si>
    <t>Productiepoot</t>
  </si>
  <si>
    <t>Spoorinfra</t>
  </si>
  <si>
    <t>10.</t>
  </si>
  <si>
    <r>
      <t xml:space="preserve">Zijn er voor de vraagarticulatie/planvorming activiteiten uren geschreven? 
</t>
    </r>
    <r>
      <rPr>
        <i/>
        <sz val="11"/>
        <color rgb="FF000000"/>
        <rFont val="Calibri"/>
        <family val="2"/>
      </rPr>
      <t>Deze uren dienen opgenomen te worden in de financieringsaanvraag/projectplan!</t>
    </r>
  </si>
  <si>
    <t>Wat is het SAP-nummer (X-nummer) dat is gebruikt voor de urenadministratie?</t>
  </si>
  <si>
    <t>T-GR03N1</t>
  </si>
  <si>
    <t>11.</t>
  </si>
  <si>
    <r>
      <t xml:space="preserve">SAP nummer voor Kernproces project vanaf startbeslissing (SAP/Primavera) </t>
    </r>
    <r>
      <rPr>
        <i/>
        <sz val="11"/>
        <color rgb="FF000000"/>
        <rFont val="Calibri"/>
        <family val="2"/>
      </rPr>
      <t xml:space="preserve">(in te vullen / aan te geven door </t>
    </r>
    <r>
      <rPr>
        <b/>
        <i/>
        <sz val="11"/>
        <color rgb="FF000000"/>
        <rFont val="Calibri"/>
        <family val="2"/>
      </rPr>
      <t>Productieloket)</t>
    </r>
  </si>
  <si>
    <r>
      <t xml:space="preserve">IBC - volgnummer
</t>
    </r>
    <r>
      <rPr>
        <i/>
        <sz val="11"/>
        <color rgb="FF000000"/>
        <rFont val="Calibri"/>
        <family val="2"/>
      </rPr>
      <t>(in te vullendoor Productieloket)</t>
    </r>
  </si>
  <si>
    <r>
      <t xml:space="preserve">Project complexiteit </t>
    </r>
    <r>
      <rPr>
        <i/>
        <sz val="11"/>
        <color rgb="FF000000"/>
        <rFont val="Calibri"/>
        <family val="2"/>
      </rPr>
      <t>(in te vullen door Productieloket)</t>
    </r>
  </si>
  <si>
    <t>Financiën :</t>
  </si>
  <si>
    <t>12.</t>
  </si>
  <si>
    <t>Financier 1</t>
  </si>
  <si>
    <t>BOV: Assetmanagement</t>
  </si>
  <si>
    <r>
      <t xml:space="preserve">Financier 2 </t>
    </r>
    <r>
      <rPr>
        <i/>
        <sz val="11"/>
        <color rgb="FF000000"/>
        <rFont val="Calibri"/>
        <family val="2"/>
      </rPr>
      <t>(Indien meerdere financiers)</t>
    </r>
  </si>
  <si>
    <t>Kies</t>
  </si>
  <si>
    <r>
      <t xml:space="preserve">Financier 3 </t>
    </r>
    <r>
      <rPr>
        <i/>
        <sz val="11"/>
        <color rgb="FF000000"/>
        <rFont val="Calibri"/>
        <family val="2"/>
      </rPr>
      <t>(Indien meerdere financiers)</t>
    </r>
  </si>
  <si>
    <t>Budget :</t>
  </si>
  <si>
    <t>13.</t>
  </si>
  <si>
    <r>
      <t xml:space="preserve">Is de totale verwachte omvang </t>
    </r>
    <r>
      <rPr>
        <u/>
        <sz val="11"/>
        <rFont val="Calibri"/>
        <family val="2"/>
      </rPr>
      <t>van het ProRail-deel</t>
    </r>
    <r>
      <rPr>
        <sz val="10"/>
        <rFont val="Corbel"/>
        <family val="2"/>
      </rPr>
      <t xml:space="preserve"> van het uiteindelijke project (prognose eindstand) groter dan € 35.000.000,00?</t>
    </r>
  </si>
  <si>
    <t>Geef een zo goed mogelijke schatting van de verwachte omvang van het uiteindelijke project (prognose eindstand)</t>
  </si>
  <si>
    <t>Indien de aanvraag nog niet het gehele project betreft, wat is de geschatte financiële omvang van deze aanvraag:</t>
  </si>
  <si>
    <t>nvt</t>
  </si>
  <si>
    <t>Vervolg stappen</t>
  </si>
  <si>
    <t>14.</t>
  </si>
  <si>
    <t xml:space="preserve">Wordt er bij de startbeslissing externe financiering aangevraagd voor de verkenning/startfase? </t>
  </si>
  <si>
    <t>Nee, startbudget €15.000,- (Aanbieding) nodig</t>
  </si>
  <si>
    <t>15.</t>
  </si>
  <si>
    <t>Is er een startbudget nodig voor de verkenningsfase?</t>
  </si>
  <si>
    <t>Nee, afwijkend startbudget  (Aanbieding) nodig</t>
  </si>
  <si>
    <t>Profiel :</t>
  </si>
  <si>
    <t>16.</t>
  </si>
  <si>
    <t>Wat is de beschrijving van de huidige situatie?</t>
  </si>
  <si>
    <t>17.</t>
  </si>
  <si>
    <t>Wat is de relatie met andere projecten?</t>
  </si>
  <si>
    <t>18.</t>
  </si>
  <si>
    <t xml:space="preserve">Wat is de vraag van de initiatiefnemer die opgelost moet worden?
</t>
  </si>
  <si>
    <t>19.</t>
  </si>
  <si>
    <t>Is dit project verbonden aan een KPI of aan een toprisico? (Zo ja, licht toe bij algemene opmerkingen, vraag 36)</t>
  </si>
  <si>
    <t>20.</t>
  </si>
  <si>
    <t>Past de gevraagde startbeslissing in de opgestelde netwerkontwikkeling/integrale ontwikkelagenda van ProRail?</t>
  </si>
  <si>
    <t>21.</t>
  </si>
  <si>
    <t>Is door de corridormanager actief getoetst of deze startbeslissing past binnen de netwerkontwikkeling?</t>
  </si>
  <si>
    <t>Planning :</t>
  </si>
  <si>
    <t>Jaar</t>
  </si>
  <si>
    <t>Maand</t>
  </si>
  <si>
    <t>22.</t>
  </si>
  <si>
    <t>Gewenste startdatum Kernproces startfase (opstellen projectplan)?</t>
  </si>
  <si>
    <t>Mei</t>
  </si>
  <si>
    <t>23.</t>
  </si>
  <si>
    <t>24.</t>
  </si>
  <si>
    <t>25.</t>
  </si>
  <si>
    <r>
      <t xml:space="preserve">Heeft dit project een </t>
    </r>
    <r>
      <rPr>
        <b/>
        <sz val="11"/>
        <color rgb="FF000000"/>
        <rFont val="Calibri"/>
        <family val="2"/>
      </rPr>
      <t>TVP</t>
    </r>
    <r>
      <rPr>
        <sz val="11"/>
        <color rgb="FF000000"/>
        <rFont val="Calibri"/>
        <family val="2"/>
      </rPr>
      <t xml:space="preserve"> nodig?</t>
    </r>
  </si>
  <si>
    <t>Impactanalyse Scope Optimalisatie Team team en afstemming Gebied:</t>
  </si>
  <si>
    <t>Impactanalyse Scope Optimalisatie Team (SOT)</t>
  </si>
  <si>
    <t>26.</t>
  </si>
  <si>
    <t>Is het formulier afgestemd in het SOT team?</t>
  </si>
  <si>
    <t>Evt. toelichting</t>
  </si>
  <si>
    <t>27.</t>
  </si>
  <si>
    <t>Past de scope binnen het vigerende Masterplan?</t>
  </si>
  <si>
    <t>28.</t>
  </si>
  <si>
    <t>Effect op een productstap (zo ja, welke?)</t>
  </si>
  <si>
    <t>29.</t>
  </si>
  <si>
    <t>Effect op bestuurlijke afspraak?</t>
  </si>
  <si>
    <t>30.</t>
  </si>
  <si>
    <t>Impact op veiligheidsissues?</t>
  </si>
  <si>
    <t>31.</t>
  </si>
  <si>
    <t>Impact op andere aspecten? (Imago)</t>
  </si>
  <si>
    <t>Gebiedsteam, O&amp;P, GSPP of Stations</t>
  </si>
  <si>
    <t>32.</t>
  </si>
  <si>
    <t>Met welke Gebiedsmanager Projecten, O&amp;P, GSPP, Stations is de aanvraag afgestemd?</t>
  </si>
  <si>
    <t>33.</t>
  </si>
  <si>
    <t>Is interne capaciteit (prm, proco, TPL, etc) aanwezig om project op te starten?</t>
  </si>
  <si>
    <t>34.</t>
  </si>
  <si>
    <t>Wordt specifieke inzet verwacht van ICT (be- en bijsturing)?</t>
  </si>
  <si>
    <t>35.</t>
  </si>
  <si>
    <t>Per wanneer kan project door Gebied/O&amp;P/GSPP/Stations worden opgepakt?</t>
  </si>
  <si>
    <t>Algemene opmerkingen:</t>
  </si>
  <si>
    <t>36.</t>
  </si>
  <si>
    <r>
      <t>Bijlagen :</t>
    </r>
    <r>
      <rPr>
        <b/>
        <i/>
        <sz val="12"/>
        <color rgb="FF000000"/>
        <rFont val="Calibri"/>
        <family val="2"/>
      </rPr>
      <t xml:space="preserve"> (Bij externe financiering is de financieringsaanvraag (Aanbieding/MIRT subsidieaanvraag) verplicht. Denk verder aan relevante correspondentie e.d.) De bijlagen zijn te vinden op SharePoint Productieloket - Initiële Businesscases.</t>
    </r>
  </si>
  <si>
    <t>37.</t>
  </si>
  <si>
    <t>Advies Landelijk Optimalisatie Team</t>
  </si>
  <si>
    <t>38.</t>
  </si>
  <si>
    <t>Handtekening door portefeullehouder (naam / functionaris / Exco) - Selecteer de juiste investeringsverantwoordelijke (zie tabblad "Wie tekent" hieronder). Wanneer dit veld niet wordt ingevuld, doet het Productieloket dit voor u.</t>
  </si>
  <si>
    <t>39.</t>
  </si>
  <si>
    <t>Verantw.kostpl.</t>
  </si>
  <si>
    <t>1000/O5310</t>
  </si>
  <si>
    <t>1000/O5320</t>
  </si>
  <si>
    <t>1000/O5330</t>
  </si>
  <si>
    <t>1000/O5334</t>
  </si>
  <si>
    <t>1000/O5340</t>
  </si>
  <si>
    <t>1000/O5350</t>
  </si>
  <si>
    <t>1000/O5610</t>
  </si>
  <si>
    <t>1000/O5620</t>
  </si>
  <si>
    <t>1000/O5630</t>
  </si>
  <si>
    <t>1000/O5640</t>
  </si>
  <si>
    <t>1000/O0740</t>
  </si>
  <si>
    <t>1000/O8310</t>
  </si>
  <si>
    <t>1000/O5720</t>
  </si>
  <si>
    <t>1000/O5730</t>
  </si>
  <si>
    <t>1000/O5740</t>
  </si>
  <si>
    <t>1000/O5750</t>
  </si>
  <si>
    <t>1000/O6700</t>
  </si>
  <si>
    <t>1000/O6750</t>
  </si>
  <si>
    <t>1000/O6900</t>
  </si>
  <si>
    <t>1000/O5590</t>
  </si>
  <si>
    <t>1000/O5000</t>
  </si>
  <si>
    <t>1000/O5300</t>
  </si>
  <si>
    <t>1000/O5600</t>
  </si>
  <si>
    <t>Algemeen</t>
  </si>
  <si>
    <t>Is de scope helder en uitvoerbaar?</t>
  </si>
  <si>
    <t>Capaciteit</t>
  </si>
  <si>
    <t>Check op capaciteit voor het vormen van een Projectteam gedaan?</t>
  </si>
  <si>
    <t>Is ProRail financiël gedekt en is het budget toereikend voor de scope?</t>
  </si>
  <si>
    <t>Is de planning (externe vraag) realistisch zonder conflicten op eigen doelstellingen?</t>
  </si>
  <si>
    <t>Is er een positief advies van de Gebiedstafel over de startbeslissing?</t>
  </si>
  <si>
    <t>MLT</t>
  </si>
  <si>
    <t>Zijn er raakvlakken met deelvisie(s) en zijn deze afgestemd?</t>
  </si>
  <si>
    <t>Zijn er raakvlakken met Grote Ontwikkelingen en zijn deze afgestemd?</t>
  </si>
  <si>
    <t>Masterplan</t>
  </si>
  <si>
    <t>Samenhang met (landelijke) ontwikkelingen binnen lopend portfolio gecheckt?</t>
  </si>
  <si>
    <t>Check landelijk productie opgave team: waar ga je investeren?</t>
  </si>
  <si>
    <t>Differentiëren</t>
  </si>
  <si>
    <t>ICT</t>
  </si>
  <si>
    <t>Aanpassingen aan de ICT infrastructuur (connectiviteit en GSM-R) gecheckt?</t>
  </si>
  <si>
    <t>Onderwerp</t>
  </si>
  <si>
    <t>Deelvisie</t>
  </si>
  <si>
    <t>Ruimtelijke strategie</t>
  </si>
  <si>
    <t>Grote Ontwikkeling</t>
  </si>
  <si>
    <t>Baanlichaam</t>
  </si>
  <si>
    <t>BKN Maatregel</t>
  </si>
  <si>
    <t>ES-lassen niet saneren</t>
  </si>
  <si>
    <t>Programma</t>
  </si>
  <si>
    <t>TEV (Tractie Energie Voorziening)</t>
  </si>
  <si>
    <t>#</t>
  </si>
  <si>
    <t>Trekkers Deelvisies</t>
  </si>
  <si>
    <t>OK</t>
  </si>
  <si>
    <t>Zjèf Budé</t>
  </si>
  <si>
    <t>NIET OK</t>
  </si>
  <si>
    <t>Binnenlandse reizigersvisie</t>
  </si>
  <si>
    <t>Roel Zijdemans</t>
  </si>
  <si>
    <t>AANDACHT</t>
  </si>
  <si>
    <t>Goederenvisie en -strategie</t>
  </si>
  <si>
    <t>Henk Rietveld</t>
  </si>
  <si>
    <t>RISICO</t>
  </si>
  <si>
    <t>Strategie internationaal</t>
  </si>
  <si>
    <t>Jeroen Wesdorp</t>
  </si>
  <si>
    <t>NVT</t>
  </si>
  <si>
    <t>Stationsvisie</t>
  </si>
  <si>
    <t>Harrie Ambergen</t>
  </si>
  <si>
    <t>Assetvisie en -strategie</t>
  </si>
  <si>
    <t>David Muller</t>
  </si>
  <si>
    <t>Visie systeemontwikkeling</t>
  </si>
  <si>
    <t>Bart de Keizer</t>
  </si>
  <si>
    <t>Emplacementenvisie</t>
  </si>
  <si>
    <t>Klaas Hofstra</t>
  </si>
  <si>
    <t>-</t>
  </si>
  <si>
    <t>Kolom1</t>
  </si>
  <si>
    <t>Trekkers Grote Ontwikkelingen</t>
  </si>
  <si>
    <t>Versnellen ERTMS</t>
  </si>
  <si>
    <t>Jouk ter Hofstede</t>
  </si>
  <si>
    <t>Jasper Ingram</t>
  </si>
  <si>
    <t>René Peusens</t>
  </si>
  <si>
    <t>Klimaatadaptatie</t>
  </si>
  <si>
    <t>Toekomstbeeld EV en Netcongestie</t>
  </si>
  <si>
    <t>Lisselotte Gijsbers</t>
  </si>
  <si>
    <t>Hergebruik - Circulariteit</t>
  </si>
  <si>
    <t>Thomas Kortekaas</t>
  </si>
  <si>
    <t>Type</t>
  </si>
  <si>
    <t>Eindhoven</t>
  </si>
  <si>
    <t>Frank Faassen</t>
  </si>
  <si>
    <t>Oude lijn</t>
  </si>
  <si>
    <t>Anne Zwiers</t>
  </si>
  <si>
    <t>.</t>
  </si>
  <si>
    <t>Trekkers BKN</t>
  </si>
  <si>
    <t>Efficiency op apparaat</t>
  </si>
  <si>
    <t>Hanco Gerritse</t>
  </si>
  <si>
    <t>Afschalen wisselverwarming</t>
  </si>
  <si>
    <t>Nathalie Richters</t>
  </si>
  <si>
    <t>Thijs Jan Noomen</t>
  </si>
  <si>
    <t>4a</t>
  </si>
  <si>
    <t>Verlengen levensduren assets (AM deel)</t>
  </si>
  <si>
    <t>ALS(S20='Deelvisie',"JA")</t>
  </si>
  <si>
    <t>4b</t>
  </si>
  <si>
    <t>Verlengen levensduren assets (Stations deel)</t>
  </si>
  <si>
    <t>=als(S20="Deelvisie"(INDIRECT("Deelvisies["&amp;S20&amp;"]"))"</t>
  </si>
  <si>
    <t>Aanpak bevers &amp; dassen</t>
  </si>
  <si>
    <t>Corné van Doorne</t>
  </si>
  <si>
    <t>Uitrol Railgebonden Gebouwen</t>
  </si>
  <si>
    <t>Kritisch afwegen voorzieningen stations</t>
  </si>
  <si>
    <t>Uitvoeren KCI maatregelen binnen taakstellend budget</t>
  </si>
  <si>
    <t>Joost Vinkevleugel</t>
  </si>
  <si>
    <t>Anders werken / meer werken overdag</t>
  </si>
  <si>
    <t>Marjolein van Breukelen</t>
  </si>
  <si>
    <t>Geen faunapassages / groen voor grijs</t>
  </si>
  <si>
    <t>Janneke Vogels</t>
  </si>
  <si>
    <t>Klimaatadaptatie: onderzoek en implementatie t/m 2030</t>
  </si>
  <si>
    <t>Heuvel en Haven: duurzaamheidswaarden waar nodig</t>
  </si>
  <si>
    <t>Ernst Kleinpenning</t>
  </si>
  <si>
    <t>Functionaliteit naar gebruik (was: differentiëren)</t>
  </si>
  <si>
    <t>Verlagen kosten netwerk door digitaliseren</t>
  </si>
  <si>
    <t>Arjen Boersma</t>
  </si>
  <si>
    <t>Andere instandhoudingsaanpak</t>
  </si>
  <si>
    <t>Standaardiseren van stations</t>
  </si>
  <si>
    <t>Trekker-Programma-Projectmanager</t>
  </si>
  <si>
    <t>Opdrachtgever</t>
  </si>
  <si>
    <t>Portefeuille</t>
  </si>
  <si>
    <t>Datum in LOT</t>
  </si>
  <si>
    <t>opmerking</t>
  </si>
  <si>
    <t>KVT</t>
  </si>
  <si>
    <t>Sylvia Allmendinger / Mitch de Man a.i.</t>
  </si>
  <si>
    <t>IenW, AM, PHS</t>
  </si>
  <si>
    <t>O&amp;P</t>
  </si>
  <si>
    <t>Ja, Mitch: Wat moet het LOT weten?</t>
  </si>
  <si>
    <t>Havenmaatregelen</t>
  </si>
  <si>
    <t>Jack Kuijer</t>
  </si>
  <si>
    <t>Ja, Jack: Houdt ons op de hoogte</t>
  </si>
  <si>
    <t>SOVA (Structurele Overwegen Verbeter Aanpak)</t>
  </si>
  <si>
    <t>Marcel Drenth / Eric Mackay</t>
  </si>
  <si>
    <t>IenW</t>
  </si>
  <si>
    <t>CM</t>
  </si>
  <si>
    <t>Ja, Mitch: Nodigt Marcel uit</t>
  </si>
  <si>
    <t>xx</t>
  </si>
  <si>
    <t>Military Mobility</t>
  </si>
  <si>
    <t>René Koppert</t>
  </si>
  <si>
    <t xml:space="preserve"> Marianne: Vraag wat betekent dit?, uitnodiging gestuurd aan René Koppert</t>
  </si>
  <si>
    <t>VAT (Verbeteraanpak trein) 25</t>
  </si>
  <si>
    <t>Cheryl Chin Joe Kie</t>
  </si>
  <si>
    <t>Nee, is nagenoeg afgerond</t>
  </si>
  <si>
    <t>VAT ETMET (elke tien minuten een trein) RoSA (Rotterdam Schiphol Amsterdam</t>
  </si>
  <si>
    <t>Jack Kruijer</t>
  </si>
  <si>
    <t>Trillingsmaatregelen</t>
  </si>
  <si>
    <t>Ja, Jack: Wat is de scope?</t>
  </si>
  <si>
    <t>Opwekking Duurzame Energie</t>
  </si>
  <si>
    <t>Cors Bergmans</t>
  </si>
  <si>
    <t>Fietsparkeren</t>
  </si>
  <si>
    <t>Wouter van Minderhout</t>
  </si>
  <si>
    <t>PHS (Programma Hoogfrequent Spoor)</t>
  </si>
  <si>
    <t>Hans Verstegen</t>
  </si>
  <si>
    <t>GSPP</t>
  </si>
  <si>
    <t>Nee, er is reeds een lijn met Iltisj</t>
  </si>
  <si>
    <t>Tunnelalliantie</t>
  </si>
  <si>
    <t>Camiel Meijneken</t>
  </si>
  <si>
    <t>De Ontwikkeltafel</t>
  </si>
  <si>
    <t>Nee, mits gemailde info voldoende is</t>
  </si>
  <si>
    <t>TENNET (EMC = Elektromagnetische compatibiliteit)</t>
  </si>
  <si>
    <t>Tennet</t>
  </si>
  <si>
    <t>Nee, programma staat op pauze</t>
  </si>
  <si>
    <t>MJPG (Meerjarenprogramma Geluidsanering)</t>
  </si>
  <si>
    <t>Kees Larooij</t>
  </si>
  <si>
    <t>Ja, Mitch: Nodigt Kees uit</t>
  </si>
  <si>
    <t xml:space="preserve">LVO (Landelijk Verbeterprogramma Overwegen) specifiek </t>
  </si>
  <si>
    <t>Nee, is afgerond in 2027</t>
  </si>
  <si>
    <t>LVO (Landelijk Verbeterprogramma Overwegen) Generiek</t>
  </si>
  <si>
    <t>Lotte Wensink</t>
  </si>
  <si>
    <t>NABO (Niet Actief Beveiligde Overwegen)</t>
  </si>
  <si>
    <t>Matthijs Bessems</t>
  </si>
  <si>
    <t>MOA (Maatwerk Overwegen Aanpak) PVVO (Programma Verbeteren Veiligheid Overwegen)</t>
  </si>
  <si>
    <t>(BVL) Bovenleidingportalen</t>
  </si>
  <si>
    <t>Karin van Helmond</t>
  </si>
  <si>
    <t>AM</t>
  </si>
  <si>
    <t>Karin komt later terug</t>
  </si>
  <si>
    <t>Suicide preventie (Marjolein Snels)</t>
  </si>
  <si>
    <t>Kees Nijman</t>
  </si>
  <si>
    <t>Veiligheid</t>
  </si>
  <si>
    <t>Landelijk Planuitwerking uitrol camerasystemen</t>
  </si>
  <si>
    <t>KFW (voor NS)</t>
  </si>
  <si>
    <t>Ja, Mitch: Kijkt of mail voldoende is</t>
  </si>
  <si>
    <t>TTI (Tunnel Technische Installatie) Programma</t>
  </si>
  <si>
    <t>Harry van der Veen</t>
  </si>
  <si>
    <t>Ja, Mitch: In te plannen</t>
  </si>
  <si>
    <t>TEN-T en 740M</t>
  </si>
  <si>
    <t>Stefan Giesing/Henk Rietveld</t>
  </si>
  <si>
    <t>Ja, Marianne: Samen met Military Mobility? &gt; wel relatie, toch wsch aparte presentaties, TenT: Stefan Giesing</t>
  </si>
  <si>
    <t>KFW (Kleine Functiewijzigingen)</t>
  </si>
  <si>
    <t>Ilona Pouels</t>
  </si>
  <si>
    <t>Iltisj vragen of teams weten dat LOT breder toetst</t>
  </si>
  <si>
    <t xml:space="preserve">B&amp;O (Behandelen &amp; Opstellen) </t>
  </si>
  <si>
    <t>Joeri van Holsteijn</t>
  </si>
  <si>
    <t>Samen met KFW</t>
  </si>
  <si>
    <t>IBS (Innovatie Bronaanpak Spoortrillingen)</t>
  </si>
  <si>
    <t>???</t>
  </si>
  <si>
    <t>Check of dit hetzlefde is als Trillingsmaatregelen</t>
  </si>
  <si>
    <t>Laagspanning dossier</t>
  </si>
  <si>
    <t>Hielke Wagter</t>
  </si>
  <si>
    <t>Gaat terug naar AM?</t>
  </si>
  <si>
    <t>Ja, Mitch: Vraag wat houdt het in</t>
  </si>
  <si>
    <t>Cyber Security</t>
  </si>
  <si>
    <t>Gerben van Dijke of Remco Geurts?</t>
  </si>
  <si>
    <t>Moet naar AM en/of Projecten?</t>
  </si>
  <si>
    <t>Martin vragen</t>
  </si>
  <si>
    <t>Schoon en Emissieloos bouwen</t>
  </si>
  <si>
    <t>Maarten Mulder</t>
  </si>
  <si>
    <t>?</t>
  </si>
  <si>
    <t>LJV?</t>
  </si>
  <si>
    <t>na 1-5-2025</t>
  </si>
  <si>
    <t>Marianne contact gehad met Cors Bergmans, verwijst naar Jeroen Termeer, verwijst naar Renée Munster (per 1-5-25 in dienst)</t>
  </si>
  <si>
    <t>Klimaat en Circulaire Infrastructuur (KCI)</t>
  </si>
  <si>
    <t>Eric Mackay</t>
  </si>
  <si>
    <t>Ja, Marianne: Vraagt aan Cors Bergmans &gt; Jeroen ter Meer &gt; Erik Mackay</t>
  </si>
  <si>
    <t>Frederiek Wubs</t>
  </si>
  <si>
    <t>Toegankelijkheid (juiste perronhoogte P76, liften, hellingbanen, geleide lijnen etc.)</t>
  </si>
  <si>
    <t>Freek Snoeren</t>
  </si>
  <si>
    <t>Stations</t>
  </si>
  <si>
    <t>Ja, maar Ton kan hier het één en ander over toelichten</t>
  </si>
  <si>
    <t>UHP (Uniek Herstel Punt)</t>
  </si>
  <si>
    <t>Johan Meijndert</t>
  </si>
  <si>
    <t>Ja, Mitch: Johan heeft het al aangeboden</t>
  </si>
  <si>
    <t>TEN-T 740M</t>
  </si>
  <si>
    <t>Criterium</t>
  </si>
  <si>
    <t>Stand</t>
  </si>
  <si>
    <t>Ja</t>
  </si>
  <si>
    <t>TVP-duur</t>
  </si>
  <si>
    <t>Scope-delen</t>
  </si>
  <si>
    <t>Scope omvang</t>
  </si>
  <si>
    <t>C01.05, C04.01, D18.01</t>
  </si>
  <si>
    <t>Hoog</t>
  </si>
  <si>
    <t>Aantal TVP's</t>
  </si>
  <si>
    <t>Klanteis</t>
  </si>
  <si>
    <t>Plandatum</t>
  </si>
  <si>
    <t>December</t>
  </si>
  <si>
    <t>Getekend</t>
  </si>
  <si>
    <t>Wanneer</t>
  </si>
  <si>
    <t>Financieel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</si>
</sst>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 &quot;€&quot;\ * #,##0.00_ ;_ &quot;€&quot;\ * \-#,##0.00_ ;_ &quot;€&quot;\ * &quot;-&quot;??_ ;_ @_ "/>
    <numFmt numFmtId="164" formatCode="_(* #,##0_);_(* \(#,##0\);_(* &quot;-&quot;_);_(@_)"/>
    <numFmt numFmtId="165" formatCode="_(* #,##0.00_);_(* \(#,##0.00\);_(* &quot;-&quot;??_);_(@_)"/>
    <numFmt numFmtId="166" formatCode="_-&quot;kr&quot;\ * #,##0.00_-;\-&quot;kr&quot;\ * #,##0.00_-;_-&quot;kr&quot;\ * &quot;-&quot;??_-;_-@_-"/>
    <numFmt numFmtId="167" formatCode="_-&quot;kr&quot;\ * #,##0_-;\-&quot;kr&quot;\ * #,##0_-;_-&quot;kr&quot;\ * &quot;-&quot;_-;_-@_-"/>
    <numFmt numFmtId="168" formatCode="[$-413]d/mmm/yy;@"/>
  </numFmts>
  <fonts count="48" x14ac:knownFonts="1">
    <font>
      <sz val="10"/>
      <color theme="4" tint="-0.24994659260841701"/>
      <name val="Corbel"/>
      <family val="2"/>
    </font>
    <font>
      <sz val="11"/>
      <color theme="1"/>
      <name val="Franklin Gothic Book"/>
      <family val="2"/>
      <scheme val="minor"/>
    </font>
    <font>
      <sz val="10"/>
      <color theme="0"/>
      <name val="Corbel"/>
      <family val="2"/>
    </font>
    <font>
      <sz val="24"/>
      <color theme="0"/>
      <name val="Tw Cen MT Condensed Extra Bold"/>
      <family val="4"/>
      <scheme val="major"/>
    </font>
    <font>
      <sz val="10"/>
      <color theme="4" tint="-0.24994659260841701"/>
      <name val="Corbel"/>
      <family val="2"/>
    </font>
    <font>
      <sz val="18"/>
      <color theme="3"/>
      <name val="Tw Cen MT Condensed Extra Bold"/>
      <family val="2"/>
      <scheme val="major"/>
    </font>
    <font>
      <b/>
      <sz val="13"/>
      <color theme="3"/>
      <name val="Franklin Gothic Book"/>
      <family val="2"/>
      <scheme val="minor"/>
    </font>
    <font>
      <b/>
      <sz val="11"/>
      <color theme="3"/>
      <name val="Franklin Gothic Book"/>
      <family val="2"/>
      <scheme val="minor"/>
    </font>
    <font>
      <sz val="11"/>
      <color rgb="FF006100"/>
      <name val="Franklin Gothic Book"/>
      <family val="2"/>
      <scheme val="minor"/>
    </font>
    <font>
      <sz val="11"/>
      <color rgb="FF9C0006"/>
      <name val="Franklin Gothic Book"/>
      <family val="2"/>
      <scheme val="minor"/>
    </font>
    <font>
      <sz val="11"/>
      <color rgb="FF9C5700"/>
      <name val="Franklin Gothic Book"/>
      <family val="2"/>
      <scheme val="minor"/>
    </font>
    <font>
      <sz val="11"/>
      <color rgb="FF3F3F76"/>
      <name val="Franklin Gothic Book"/>
      <family val="2"/>
      <scheme val="minor"/>
    </font>
    <font>
      <b/>
      <sz val="11"/>
      <color rgb="FF3F3F3F"/>
      <name val="Franklin Gothic Book"/>
      <family val="2"/>
      <scheme val="minor"/>
    </font>
    <font>
      <b/>
      <sz val="11"/>
      <color rgb="FFFA7D00"/>
      <name val="Franklin Gothic Book"/>
      <family val="2"/>
      <scheme val="minor"/>
    </font>
    <font>
      <sz val="11"/>
      <color rgb="FFFA7D00"/>
      <name val="Franklin Gothic Book"/>
      <family val="2"/>
      <scheme val="minor"/>
    </font>
    <font>
      <b/>
      <sz val="11"/>
      <color theme="0"/>
      <name val="Franklin Gothic Book"/>
      <family val="2"/>
      <scheme val="minor"/>
    </font>
    <font>
      <sz val="11"/>
      <color rgb="FFFF0000"/>
      <name val="Franklin Gothic Book"/>
      <family val="2"/>
      <scheme val="minor"/>
    </font>
    <font>
      <i/>
      <sz val="11"/>
      <color rgb="FF7F7F7F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sz val="11"/>
      <color theme="0"/>
      <name val="Franklin Gothic Book"/>
      <family val="2"/>
      <scheme val="minor"/>
    </font>
    <font>
      <b/>
      <u/>
      <sz val="10"/>
      <color theme="4" tint="-0.24994659260841701"/>
      <name val="Corbel"/>
      <family val="2"/>
    </font>
    <font>
      <b/>
      <u/>
      <sz val="10"/>
      <color theme="0"/>
      <name val="Corbel"/>
      <family val="2"/>
    </font>
    <font>
      <sz val="10"/>
      <name val="Corbel"/>
      <family val="2"/>
    </font>
    <font>
      <b/>
      <sz val="10"/>
      <color theme="4" tint="-0.24994659260841701"/>
      <name val="Corbel"/>
      <family val="2"/>
    </font>
    <font>
      <sz val="11"/>
      <name val="Franklin Gothic Book"/>
      <family val="2"/>
      <scheme val="minor"/>
    </font>
    <font>
      <sz val="11"/>
      <color theme="4" tint="-0.24994659260841701"/>
      <name val="Aptos"/>
      <family val="2"/>
    </font>
    <font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Calibri"/>
      <family val="2"/>
    </font>
    <font>
      <sz val="8"/>
      <color rgb="FF000000"/>
      <name val="Calibri"/>
      <family val="2"/>
    </font>
    <font>
      <b/>
      <sz val="18"/>
      <color rgb="FF000000"/>
      <name val="Calibri"/>
      <family val="2"/>
    </font>
    <font>
      <i/>
      <sz val="14"/>
      <color rgb="FF000000"/>
      <name val="Calibri"/>
      <family val="2"/>
    </font>
    <font>
      <i/>
      <sz val="12"/>
      <color rgb="FF000000"/>
      <name val="Calibri"/>
      <family val="2"/>
    </font>
    <font>
      <b/>
      <i/>
      <sz val="12"/>
      <color rgb="FF92D050"/>
      <name val="Calibri"/>
      <family val="2"/>
    </font>
    <font>
      <b/>
      <i/>
      <sz val="12"/>
      <color rgb="FFE26B0A"/>
      <name val="Calibri"/>
      <family val="2"/>
    </font>
    <font>
      <b/>
      <sz val="16"/>
      <color rgb="FF000000"/>
      <name val="Calibri"/>
      <family val="2"/>
    </font>
    <font>
      <b/>
      <sz val="12"/>
      <color rgb="FFFFFFFF"/>
      <name val="Calibri"/>
      <family val="2"/>
    </font>
    <font>
      <b/>
      <sz val="12"/>
      <color rgb="FF000000"/>
      <name val="Calibri"/>
      <family val="2"/>
    </font>
    <font>
      <i/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sz val="10"/>
      <name val="Calibri"/>
      <family val="2"/>
    </font>
    <font>
      <sz val="10"/>
      <color rgb="FFFFFFFF"/>
      <name val="Calibri"/>
      <family val="2"/>
    </font>
    <font>
      <b/>
      <i/>
      <sz val="12"/>
      <color rgb="FF000000"/>
      <name val="Calibri"/>
      <family val="2"/>
    </font>
    <font>
      <u/>
      <sz val="11"/>
      <name val="Calibri"/>
      <family val="2"/>
    </font>
  </fonts>
  <fills count="4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-0.499984740745262"/>
        <bgColor theme="4"/>
      </patternFill>
    </fill>
    <fill>
      <patternFill patternType="solid">
        <fgColor rgb="FFFFFFFF"/>
        <bgColor rgb="FF000000"/>
      </patternFill>
    </fill>
    <fill>
      <patternFill patternType="solid">
        <fgColor rgb="FFC71A46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FFFCC"/>
        <bgColor rgb="FF000000"/>
      </patternFill>
    </fill>
    <fill>
      <patternFill patternType="solid">
        <fgColor rgb="FFEEECE1"/>
        <bgColor rgb="FF000000"/>
      </patternFill>
    </fill>
    <fill>
      <patternFill patternType="solid">
        <fgColor rgb="FFFFFFCC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4" tint="-0.499984740745262"/>
      </bottom>
      <diagonal/>
    </border>
  </borders>
  <cellStyleXfs count="49">
    <xf numFmtId="0" fontId="0" fillId="0" borderId="0"/>
    <xf numFmtId="0" fontId="3" fillId="2" borderId="0" applyNumberFormat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3" applyNumberFormat="0" applyAlignment="0" applyProtection="0"/>
    <xf numFmtId="0" fontId="12" fillId="7" borderId="4" applyNumberFormat="0" applyAlignment="0" applyProtection="0"/>
    <xf numFmtId="0" fontId="13" fillId="7" borderId="3" applyNumberFormat="0" applyAlignment="0" applyProtection="0"/>
    <xf numFmtId="0" fontId="14" fillId="0" borderId="5" applyNumberFormat="0" applyFill="0" applyAlignment="0" applyProtection="0"/>
    <xf numFmtId="0" fontId="15" fillId="8" borderId="6" applyNumberFormat="0" applyAlignment="0" applyProtection="0"/>
    <xf numFmtId="0" fontId="16" fillId="0" borderId="0" applyNumberFormat="0" applyFill="0" applyBorder="0" applyAlignment="0" applyProtection="0"/>
    <xf numFmtId="0" fontId="4" fillId="9" borderId="7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8" applyNumberFormat="0" applyFill="0" applyAlignment="0" applyProtection="0"/>
    <xf numFmtId="0" fontId="19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9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9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9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9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9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4" fontId="1" fillId="0" borderId="0" applyFont="0" applyFill="0" applyBorder="0" applyAlignment="0" applyProtection="0"/>
  </cellStyleXfs>
  <cellXfs count="160">
    <xf numFmtId="0" fontId="0" fillId="0" borderId="0" xfId="0"/>
    <xf numFmtId="0" fontId="20" fillId="0" borderId="0" xfId="0" applyFont="1"/>
    <xf numFmtId="0" fontId="0" fillId="0" borderId="0" xfId="0" quotePrefix="1"/>
    <xf numFmtId="0" fontId="22" fillId="34" borderId="9" xfId="0" applyFont="1" applyFill="1" applyBorder="1"/>
    <xf numFmtId="0" fontId="22" fillId="34" borderId="10" xfId="0" applyFont="1" applyFill="1" applyBorder="1"/>
    <xf numFmtId="0" fontId="22" fillId="0" borderId="9" xfId="0" applyFont="1" applyBorder="1"/>
    <xf numFmtId="0" fontId="22" fillId="0" borderId="10" xfId="0" applyFont="1" applyBorder="1"/>
    <xf numFmtId="0" fontId="23" fillId="0" borderId="0" xfId="0" applyFont="1"/>
    <xf numFmtId="0" fontId="21" fillId="35" borderId="11" xfId="0" applyFont="1" applyFill="1" applyBorder="1"/>
    <xf numFmtId="0" fontId="2" fillId="35" borderId="12" xfId="0" applyFont="1" applyFill="1" applyBorder="1"/>
    <xf numFmtId="0" fontId="21" fillId="35" borderId="13" xfId="0" applyFont="1" applyFill="1" applyBorder="1"/>
    <xf numFmtId="0" fontId="22" fillId="34" borderId="14" xfId="0" applyFont="1" applyFill="1" applyBorder="1"/>
    <xf numFmtId="0" fontId="22" fillId="0" borderId="14" xfId="0" applyFont="1" applyBorder="1"/>
    <xf numFmtId="0" fontId="24" fillId="34" borderId="9" xfId="0" applyFont="1" applyFill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5" fillId="0" borderId="0" xfId="0" applyFont="1"/>
    <xf numFmtId="14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/>
    <xf numFmtId="14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21" fillId="35" borderId="0" xfId="0" applyFont="1" applyFill="1"/>
    <xf numFmtId="0" fontId="27" fillId="0" borderId="15" xfId="0" applyFont="1" applyBorder="1" applyAlignment="1">
      <alignment horizontal="left" vertical="top"/>
    </xf>
    <xf numFmtId="0" fontId="32" fillId="36" borderId="0" xfId="0" applyFont="1" applyFill="1" applyAlignment="1">
      <alignment horizontal="left"/>
    </xf>
    <xf numFmtId="0" fontId="27" fillId="36" borderId="0" xfId="0" applyFont="1" applyFill="1"/>
    <xf numFmtId="0" fontId="33" fillId="36" borderId="0" xfId="0" applyFont="1" applyFill="1" applyAlignment="1">
      <alignment horizontal="right"/>
    </xf>
    <xf numFmtId="0" fontId="32" fillId="36" borderId="0" xfId="0" applyFont="1" applyFill="1"/>
    <xf numFmtId="0" fontId="32" fillId="0" borderId="0" xfId="0" applyFont="1" applyAlignment="1">
      <alignment horizontal="center"/>
    </xf>
    <xf numFmtId="0" fontId="32" fillId="0" borderId="0" xfId="0" applyFont="1"/>
    <xf numFmtId="0" fontId="34" fillId="36" borderId="0" xfId="0" applyFont="1" applyFill="1" applyAlignment="1">
      <alignment horizontal="left"/>
    </xf>
    <xf numFmtId="0" fontId="36" fillId="36" borderId="0" xfId="0" applyFont="1" applyFill="1" applyAlignment="1">
      <alignment horizontal="left" vertical="top" wrapText="1"/>
    </xf>
    <xf numFmtId="0" fontId="39" fillId="36" borderId="0" xfId="0" applyFont="1" applyFill="1" applyAlignment="1">
      <alignment horizontal="left" vertical="top"/>
    </xf>
    <xf numFmtId="0" fontId="27" fillId="36" borderId="0" xfId="0" applyFont="1" applyFill="1" applyAlignment="1">
      <alignment horizontal="left" vertical="center"/>
    </xf>
    <xf numFmtId="0" fontId="28" fillId="36" borderId="0" xfId="0" applyFont="1" applyFill="1"/>
    <xf numFmtId="0" fontId="41" fillId="38" borderId="15" xfId="0" applyFont="1" applyFill="1" applyBorder="1" applyAlignment="1">
      <alignment horizontal="left" vertical="top" wrapText="1"/>
    </xf>
    <xf numFmtId="0" fontId="32" fillId="38" borderId="15" xfId="0" applyFont="1" applyFill="1" applyBorder="1" applyAlignment="1">
      <alignment horizontal="left" vertical="top"/>
    </xf>
    <xf numFmtId="0" fontId="27" fillId="38" borderId="15" xfId="0" applyFont="1" applyFill="1" applyBorder="1" applyAlignment="1">
      <alignment horizontal="left" vertical="top"/>
    </xf>
    <xf numFmtId="0" fontId="27" fillId="38" borderId="15" xfId="0" applyFont="1" applyFill="1" applyBorder="1" applyAlignment="1">
      <alignment vertical="top" wrapText="1"/>
    </xf>
    <xf numFmtId="0" fontId="27" fillId="39" borderId="16" xfId="0" applyFont="1" applyFill="1" applyBorder="1" applyAlignment="1" applyProtection="1">
      <alignment horizontal="left" vertical="top"/>
      <protection locked="0"/>
    </xf>
    <xf numFmtId="0" fontId="27" fillId="38" borderId="15" xfId="0" applyFont="1" applyFill="1" applyBorder="1" applyAlignment="1">
      <alignment vertical="top"/>
    </xf>
    <xf numFmtId="0" fontId="27" fillId="39" borderId="15" xfId="0" applyFont="1" applyFill="1" applyBorder="1" applyAlignment="1" applyProtection="1">
      <alignment horizontal="left" vertical="top"/>
      <protection locked="0"/>
    </xf>
    <xf numFmtId="0" fontId="27" fillId="39" borderId="17" xfId="0" applyFont="1" applyFill="1" applyBorder="1" applyAlignment="1">
      <alignment vertical="top" wrapText="1"/>
    </xf>
    <xf numFmtId="0" fontId="27" fillId="39" borderId="17" xfId="0" applyFont="1" applyFill="1" applyBorder="1" applyAlignment="1" applyProtection="1">
      <alignment vertical="top"/>
      <protection locked="0"/>
    </xf>
    <xf numFmtId="0" fontId="27" fillId="39" borderId="18" xfId="0" applyFont="1" applyFill="1" applyBorder="1" applyAlignment="1" applyProtection="1">
      <alignment vertical="top"/>
      <protection locked="0"/>
    </xf>
    <xf numFmtId="0" fontId="41" fillId="38" borderId="16" xfId="0" applyFont="1" applyFill="1" applyBorder="1" applyAlignment="1">
      <alignment horizontal="left" vertical="top" wrapText="1"/>
    </xf>
    <xf numFmtId="0" fontId="41" fillId="38" borderId="17" xfId="0" applyFont="1" applyFill="1" applyBorder="1" applyAlignment="1">
      <alignment horizontal="left" vertical="top" wrapText="1"/>
    </xf>
    <xf numFmtId="0" fontId="41" fillId="38" borderId="18" xfId="0" applyFont="1" applyFill="1" applyBorder="1" applyAlignment="1">
      <alignment horizontal="left" vertical="top" wrapText="1"/>
    </xf>
    <xf numFmtId="0" fontId="27" fillId="38" borderId="15" xfId="0" applyFont="1" applyFill="1" applyBorder="1" applyAlignment="1">
      <alignment horizontal="left" vertical="top" wrapText="1"/>
    </xf>
    <xf numFmtId="0" fontId="27" fillId="39" borderId="16" xfId="0" applyFont="1" applyFill="1" applyBorder="1" applyAlignment="1" applyProtection="1">
      <alignment vertical="top" wrapText="1"/>
      <protection locked="0"/>
    </xf>
    <xf numFmtId="0" fontId="28" fillId="40" borderId="15" xfId="0" applyFont="1" applyFill="1" applyBorder="1" applyAlignment="1" applyProtection="1">
      <alignment horizontal="center" vertical="center" wrapText="1"/>
      <protection locked="0"/>
    </xf>
    <xf numFmtId="0" fontId="44" fillId="0" borderId="0" xfId="0" applyFont="1"/>
    <xf numFmtId="0" fontId="27" fillId="38" borderId="15" xfId="0" applyFont="1" applyFill="1" applyBorder="1" applyAlignment="1">
      <alignment wrapText="1" readingOrder="1"/>
    </xf>
    <xf numFmtId="0" fontId="45" fillId="0" borderId="0" xfId="0" applyFont="1"/>
    <xf numFmtId="0" fontId="27" fillId="0" borderId="17" xfId="0" applyFont="1" applyBorder="1" applyAlignment="1">
      <alignment horizontal="left" vertical="top"/>
    </xf>
    <xf numFmtId="0" fontId="27" fillId="39" borderId="15" xfId="0" applyFont="1" applyFill="1" applyBorder="1" applyAlignment="1" applyProtection="1">
      <alignment vertical="top"/>
      <protection locked="0"/>
    </xf>
    <xf numFmtId="0" fontId="29" fillId="0" borderId="15" xfId="0" applyFont="1" applyBorder="1" applyAlignment="1">
      <alignment horizontal="left" vertical="top"/>
    </xf>
    <xf numFmtId="0" fontId="45" fillId="0" borderId="28" xfId="0" applyFont="1" applyBorder="1" applyAlignment="1">
      <alignment horizontal="center"/>
    </xf>
    <xf numFmtId="0" fontId="45" fillId="0" borderId="0" xfId="0" applyFont="1" applyAlignment="1">
      <alignment horizontal="left"/>
    </xf>
    <xf numFmtId="0" fontId="32" fillId="0" borderId="0" xfId="0" applyFont="1" applyAlignment="1">
      <alignment horizontal="left"/>
    </xf>
    <xf numFmtId="0" fontId="26" fillId="0" borderId="0" xfId="0" applyFont="1" applyAlignment="1">
      <alignment vertical="center"/>
    </xf>
    <xf numFmtId="0" fontId="29" fillId="0" borderId="0" xfId="0" applyFont="1"/>
    <xf numFmtId="0" fontId="27" fillId="38" borderId="15" xfId="0" applyFont="1" applyFill="1" applyBorder="1" applyAlignment="1">
      <alignment vertical="top" wrapText="1" readingOrder="1"/>
    </xf>
    <xf numFmtId="0" fontId="29" fillId="38" borderId="15" xfId="0" applyFont="1" applyFill="1" applyBorder="1" applyAlignment="1">
      <alignment vertical="top" wrapText="1"/>
    </xf>
    <xf numFmtId="17" fontId="27" fillId="39" borderId="15" xfId="0" applyNumberFormat="1" applyFont="1" applyFill="1" applyBorder="1" applyAlignment="1" applyProtection="1">
      <alignment horizontal="left" vertical="top"/>
      <protection locked="0"/>
    </xf>
    <xf numFmtId="0" fontId="27" fillId="39" borderId="17" xfId="0" applyFont="1" applyFill="1" applyBorder="1" applyAlignment="1" applyProtection="1">
      <alignment horizontal="left" vertical="top"/>
      <protection locked="0"/>
    </xf>
    <xf numFmtId="0" fontId="32" fillId="38" borderId="20" xfId="0" applyFont="1" applyFill="1" applyBorder="1" applyAlignment="1">
      <alignment horizontal="left" vertical="top"/>
    </xf>
    <xf numFmtId="0" fontId="28" fillId="40" borderId="18" xfId="0" applyFont="1" applyFill="1" applyBorder="1" applyAlignment="1" applyProtection="1">
      <alignment horizontal="center" vertical="center" wrapText="1"/>
      <protection locked="0"/>
    </xf>
    <xf numFmtId="0" fontId="28" fillId="40" borderId="16" xfId="0" applyFont="1" applyFill="1" applyBorder="1" applyAlignment="1" applyProtection="1">
      <alignment horizontal="center" vertical="center" wrapText="1"/>
      <protection locked="0"/>
    </xf>
    <xf numFmtId="0" fontId="27" fillId="38" borderId="22" xfId="0" applyFont="1" applyFill="1" applyBorder="1" applyAlignment="1">
      <alignment vertical="top" wrapText="1"/>
    </xf>
    <xf numFmtId="0" fontId="27" fillId="38" borderId="22" xfId="0" applyFont="1" applyFill="1" applyBorder="1" applyAlignment="1" applyProtection="1">
      <alignment horizontal="left" vertical="top" wrapText="1"/>
      <protection locked="0"/>
    </xf>
    <xf numFmtId="0" fontId="27" fillId="38" borderId="18" xfId="0" applyFont="1" applyFill="1" applyBorder="1" applyAlignment="1">
      <alignment horizontal="left" vertical="top"/>
    </xf>
    <xf numFmtId="0" fontId="24" fillId="34" borderId="9" xfId="0" applyFont="1" applyFill="1" applyBorder="1" applyAlignment="1">
      <alignment horizontal="left" vertical="center" indent="1"/>
    </xf>
    <xf numFmtId="0" fontId="24" fillId="34" borderId="10" xfId="0" applyFont="1" applyFill="1" applyBorder="1" applyAlignment="1">
      <alignment horizontal="center" vertical="center"/>
    </xf>
    <xf numFmtId="0" fontId="24" fillId="0" borderId="9" xfId="0" applyFont="1" applyBorder="1" applyAlignment="1">
      <alignment horizontal="left" vertical="center" indent="1"/>
    </xf>
    <xf numFmtId="0" fontId="24" fillId="0" borderId="10" xfId="0" applyFont="1" applyBorder="1" applyAlignment="1">
      <alignment horizontal="center" vertical="center"/>
    </xf>
    <xf numFmtId="0" fontId="24" fillId="0" borderId="30" xfId="0" applyFont="1" applyBorder="1" applyAlignment="1">
      <alignment horizontal="left" vertical="center" indent="1"/>
    </xf>
    <xf numFmtId="0" fontId="24" fillId="0" borderId="30" xfId="0" applyFont="1" applyBorder="1" applyAlignment="1">
      <alignment horizontal="center" vertical="center"/>
    </xf>
    <xf numFmtId="0" fontId="27" fillId="39" borderId="17" xfId="0" applyFont="1" applyFill="1" applyBorder="1" applyAlignment="1" applyProtection="1">
      <alignment horizontal="left" vertical="top" wrapText="1"/>
      <protection locked="0"/>
    </xf>
    <xf numFmtId="0" fontId="41" fillId="38" borderId="27" xfId="0" applyFont="1" applyFill="1" applyBorder="1" applyAlignment="1">
      <alignment horizontal="center" vertical="top" wrapText="1"/>
    </xf>
    <xf numFmtId="0" fontId="41" fillId="38" borderId="28" xfId="0" applyFont="1" applyFill="1" applyBorder="1" applyAlignment="1">
      <alignment horizontal="center" vertical="top" wrapText="1"/>
    </xf>
    <xf numFmtId="0" fontId="41" fillId="38" borderId="29" xfId="0" applyFont="1" applyFill="1" applyBorder="1" applyAlignment="1">
      <alignment horizontal="center" vertical="top" wrapText="1"/>
    </xf>
    <xf numFmtId="0" fontId="27" fillId="39" borderId="16" xfId="0" applyFont="1" applyFill="1" applyBorder="1" applyAlignment="1" applyProtection="1">
      <alignment horizontal="left" vertical="top" wrapText="1"/>
      <protection locked="0"/>
    </xf>
    <xf numFmtId="0" fontId="27" fillId="39" borderId="18" xfId="0" applyFont="1" applyFill="1" applyBorder="1" applyAlignment="1" applyProtection="1">
      <alignment horizontal="left" vertical="top" wrapText="1"/>
      <protection locked="0"/>
    </xf>
    <xf numFmtId="0" fontId="29" fillId="41" borderId="16" xfId="0" applyFont="1" applyFill="1" applyBorder="1" applyAlignment="1" applyProtection="1">
      <alignment horizontal="center" vertical="top" wrapText="1"/>
      <protection locked="0"/>
    </xf>
    <xf numFmtId="0" fontId="29" fillId="41" borderId="17" xfId="0" applyFont="1" applyFill="1" applyBorder="1" applyAlignment="1" applyProtection="1">
      <alignment horizontal="center" vertical="top" wrapText="1"/>
      <protection locked="0"/>
    </xf>
    <xf numFmtId="0" fontId="29" fillId="41" borderId="18" xfId="0" applyFont="1" applyFill="1" applyBorder="1" applyAlignment="1" applyProtection="1">
      <alignment horizontal="center" vertical="top" wrapText="1"/>
      <protection locked="0"/>
    </xf>
    <xf numFmtId="0" fontId="32" fillId="39" borderId="15" xfId="0" applyFont="1" applyFill="1" applyBorder="1" applyAlignment="1" applyProtection="1">
      <alignment horizontal="left" vertical="top" wrapText="1"/>
      <protection locked="0"/>
    </xf>
    <xf numFmtId="0" fontId="27" fillId="38" borderId="17" xfId="0" applyFont="1" applyFill="1" applyBorder="1" applyAlignment="1">
      <alignment wrapText="1" readingOrder="1"/>
    </xf>
    <xf numFmtId="0" fontId="27" fillId="39" borderId="16" xfId="0" applyFont="1" applyFill="1" applyBorder="1" applyAlignment="1" applyProtection="1">
      <alignment horizontal="left" vertical="top"/>
      <protection locked="0"/>
    </xf>
    <xf numFmtId="0" fontId="27" fillId="39" borderId="17" xfId="0" applyFont="1" applyFill="1" applyBorder="1" applyAlignment="1" applyProtection="1">
      <alignment horizontal="left" vertical="top"/>
      <protection locked="0"/>
    </xf>
    <xf numFmtId="0" fontId="27" fillId="39" borderId="18" xfId="0" applyFont="1" applyFill="1" applyBorder="1" applyAlignment="1" applyProtection="1">
      <alignment horizontal="left" vertical="top"/>
      <protection locked="0"/>
    </xf>
    <xf numFmtId="0" fontId="32" fillId="0" borderId="0" xfId="0" applyFont="1" applyAlignment="1">
      <alignment horizontal="center"/>
    </xf>
    <xf numFmtId="0" fontId="36" fillId="36" borderId="16" xfId="0" applyFont="1" applyFill="1" applyBorder="1" applyAlignment="1">
      <alignment horizontal="left" vertical="top" wrapText="1"/>
    </xf>
    <xf numFmtId="0" fontId="39" fillId="36" borderId="17" xfId="0" applyFont="1" applyFill="1" applyBorder="1" applyAlignment="1">
      <alignment horizontal="left" vertical="top" wrapText="1"/>
    </xf>
    <xf numFmtId="0" fontId="39" fillId="36" borderId="18" xfId="0" applyFont="1" applyFill="1" applyBorder="1" applyAlignment="1">
      <alignment horizontal="left" vertical="top" wrapText="1"/>
    </xf>
    <xf numFmtId="0" fontId="40" fillId="37" borderId="19" xfId="0" applyFont="1" applyFill="1" applyBorder="1" applyAlignment="1">
      <alignment horizontal="center" vertical="center"/>
    </xf>
    <xf numFmtId="0" fontId="40" fillId="37" borderId="0" xfId="0" applyFont="1" applyFill="1" applyAlignment="1">
      <alignment horizontal="center" vertical="center"/>
    </xf>
    <xf numFmtId="0" fontId="41" fillId="38" borderId="15" xfId="0" applyFont="1" applyFill="1" applyBorder="1" applyAlignment="1">
      <alignment horizontal="left" vertical="top" wrapText="1"/>
    </xf>
    <xf numFmtId="168" fontId="27" fillId="39" borderId="15" xfId="0" applyNumberFormat="1" applyFont="1" applyFill="1" applyBorder="1" applyAlignment="1" applyProtection="1">
      <alignment horizontal="left"/>
      <protection locked="0"/>
    </xf>
    <xf numFmtId="168" fontId="27" fillId="39" borderId="16" xfId="0" applyNumberFormat="1" applyFont="1" applyFill="1" applyBorder="1" applyAlignment="1" applyProtection="1">
      <alignment horizontal="left"/>
      <protection locked="0"/>
    </xf>
    <xf numFmtId="168" fontId="27" fillId="39" borderId="17" xfId="0" applyNumberFormat="1" applyFont="1" applyFill="1" applyBorder="1" applyAlignment="1" applyProtection="1">
      <alignment horizontal="left"/>
      <protection locked="0"/>
    </xf>
    <xf numFmtId="168" fontId="27" fillId="39" borderId="18" xfId="0" applyNumberFormat="1" applyFont="1" applyFill="1" applyBorder="1" applyAlignment="1" applyProtection="1">
      <alignment horizontal="left"/>
      <protection locked="0"/>
    </xf>
    <xf numFmtId="0" fontId="27" fillId="39" borderId="15" xfId="0" applyFont="1" applyFill="1" applyBorder="1" applyAlignment="1" applyProtection="1">
      <alignment horizontal="left" vertical="top"/>
      <protection locked="0"/>
    </xf>
    <xf numFmtId="0" fontId="32" fillId="38" borderId="20" xfId="0" applyFont="1" applyFill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0" fontId="27" fillId="39" borderId="16" xfId="0" applyFont="1" applyFill="1" applyBorder="1" applyAlignment="1">
      <alignment vertical="top" wrapText="1"/>
    </xf>
    <xf numFmtId="0" fontId="27" fillId="0" borderId="18" xfId="0" applyFont="1" applyBorder="1" applyAlignment="1">
      <alignment vertical="top" wrapText="1"/>
    </xf>
    <xf numFmtId="0" fontId="41" fillId="38" borderId="16" xfId="0" applyFont="1" applyFill="1" applyBorder="1" applyAlignment="1">
      <alignment horizontal="left" vertical="top" wrapText="1"/>
    </xf>
    <xf numFmtId="0" fontId="41" fillId="38" borderId="17" xfId="0" applyFont="1" applyFill="1" applyBorder="1" applyAlignment="1">
      <alignment horizontal="left" vertical="top" wrapText="1"/>
    </xf>
    <xf numFmtId="0" fontId="41" fillId="38" borderId="18" xfId="0" applyFont="1" applyFill="1" applyBorder="1" applyAlignment="1">
      <alignment horizontal="left" vertical="top" wrapText="1"/>
    </xf>
    <xf numFmtId="0" fontId="32" fillId="0" borderId="22" xfId="0" applyFont="1" applyBorder="1" applyAlignment="1">
      <alignment horizontal="center"/>
    </xf>
    <xf numFmtId="0" fontId="27" fillId="38" borderId="16" xfId="0" applyFont="1" applyFill="1" applyBorder="1" applyAlignment="1">
      <alignment horizontal="left" vertical="top" wrapText="1"/>
    </xf>
    <xf numFmtId="0" fontId="27" fillId="38" borderId="17" xfId="0" applyFont="1" applyFill="1" applyBorder="1" applyAlignment="1">
      <alignment horizontal="left" vertical="top" wrapText="1"/>
    </xf>
    <xf numFmtId="0" fontId="27" fillId="38" borderId="18" xfId="0" applyFont="1" applyFill="1" applyBorder="1" applyAlignment="1">
      <alignment horizontal="left" vertical="top" wrapText="1"/>
    </xf>
    <xf numFmtId="0" fontId="28" fillId="39" borderId="16" xfId="0" applyFont="1" applyFill="1" applyBorder="1" applyAlignment="1" applyProtection="1">
      <alignment horizontal="center" vertical="center" wrapText="1"/>
      <protection locked="0"/>
    </xf>
    <xf numFmtId="0" fontId="28" fillId="39" borderId="18" xfId="0" applyFont="1" applyFill="1" applyBorder="1" applyAlignment="1" applyProtection="1">
      <alignment horizontal="center" vertical="center" wrapText="1"/>
      <protection locked="0"/>
    </xf>
    <xf numFmtId="0" fontId="27" fillId="38" borderId="15" xfId="0" applyFont="1" applyFill="1" applyBorder="1" applyAlignment="1">
      <alignment horizontal="center" vertical="top" wrapText="1"/>
    </xf>
    <xf numFmtId="0" fontId="32" fillId="40" borderId="15" xfId="0" applyFont="1" applyFill="1" applyBorder="1" applyAlignment="1">
      <alignment horizontal="center" vertical="center"/>
    </xf>
    <xf numFmtId="0" fontId="32" fillId="0" borderId="17" xfId="0" applyFont="1" applyBorder="1" applyAlignment="1">
      <alignment horizontal="center" vertical="top"/>
    </xf>
    <xf numFmtId="0" fontId="27" fillId="38" borderId="15" xfId="0" applyFont="1" applyFill="1" applyBorder="1" applyAlignment="1">
      <alignment horizontal="left" vertical="top"/>
    </xf>
    <xf numFmtId="0" fontId="27" fillId="38" borderId="20" xfId="0" applyFont="1" applyFill="1" applyBorder="1" applyAlignment="1">
      <alignment horizontal="left" vertical="top"/>
    </xf>
    <xf numFmtId="0" fontId="27" fillId="38" borderId="23" xfId="0" applyFont="1" applyFill="1" applyBorder="1" applyAlignment="1">
      <alignment horizontal="left" vertical="top"/>
    </xf>
    <xf numFmtId="0" fontId="27" fillId="38" borderId="21" xfId="0" applyFont="1" applyFill="1" applyBorder="1" applyAlignment="1">
      <alignment horizontal="left" vertical="top"/>
    </xf>
    <xf numFmtId="44" fontId="27" fillId="39" borderId="16" xfId="4" applyNumberFormat="1" applyFont="1" applyFill="1" applyBorder="1" applyAlignment="1" applyProtection="1">
      <alignment horizontal="left" vertical="top"/>
      <protection locked="0"/>
    </xf>
    <xf numFmtId="44" fontId="27" fillId="39" borderId="17" xfId="4" applyNumberFormat="1" applyFont="1" applyFill="1" applyBorder="1" applyAlignment="1" applyProtection="1">
      <alignment horizontal="left" vertical="top"/>
      <protection locked="0"/>
    </xf>
    <xf numFmtId="44" fontId="27" fillId="39" borderId="18" xfId="4" applyNumberFormat="1" applyFont="1" applyFill="1" applyBorder="1" applyAlignment="1" applyProtection="1">
      <alignment horizontal="left" vertical="top"/>
      <protection locked="0"/>
    </xf>
    <xf numFmtId="44" fontId="27" fillId="39" borderId="15" xfId="4" applyNumberFormat="1" applyFont="1" applyFill="1" applyBorder="1" applyAlignment="1" applyProtection="1">
      <alignment horizontal="left" vertical="top"/>
      <protection locked="0"/>
    </xf>
    <xf numFmtId="0" fontId="27" fillId="38" borderId="15" xfId="0" applyFont="1" applyFill="1" applyBorder="1" applyAlignment="1" applyProtection="1">
      <alignment horizontal="left" vertical="top" wrapText="1"/>
      <protection locked="0"/>
    </xf>
    <xf numFmtId="0" fontId="32" fillId="0" borderId="22" xfId="0" applyFont="1" applyBorder="1" applyAlignment="1">
      <alignment horizontal="center" vertical="top"/>
    </xf>
    <xf numFmtId="0" fontId="32" fillId="39" borderId="15" xfId="0" applyFont="1" applyFill="1" applyBorder="1" applyAlignment="1" applyProtection="1">
      <alignment horizontal="left" vertical="top" wrapText="1"/>
      <protection locked="0"/>
    </xf>
    <xf numFmtId="0" fontId="27" fillId="36" borderId="24" xfId="0" applyFont="1" applyFill="1" applyBorder="1" applyAlignment="1">
      <alignment horizontal="center" vertical="top"/>
    </xf>
    <xf numFmtId="0" fontId="27" fillId="36" borderId="22" xfId="0" applyFont="1" applyFill="1" applyBorder="1" applyAlignment="1">
      <alignment horizontal="center" vertical="top"/>
    </xf>
    <xf numFmtId="0" fontId="41" fillId="38" borderId="16" xfId="0" applyFont="1" applyFill="1" applyBorder="1" applyAlignment="1">
      <alignment horizontal="center" vertical="top" wrapText="1"/>
    </xf>
    <xf numFmtId="0" fontId="41" fillId="38" borderId="17" xfId="0" applyFont="1" applyFill="1" applyBorder="1" applyAlignment="1">
      <alignment horizontal="center" vertical="top" wrapText="1"/>
    </xf>
    <xf numFmtId="0" fontId="41" fillId="38" borderId="18" xfId="0" applyFont="1" applyFill="1" applyBorder="1" applyAlignment="1">
      <alignment horizontal="center" vertical="top" wrapText="1"/>
    </xf>
    <xf numFmtId="0" fontId="41" fillId="38" borderId="24" xfId="0" applyFont="1" applyFill="1" applyBorder="1" applyAlignment="1">
      <alignment horizontal="center" vertical="top" wrapText="1"/>
    </xf>
    <xf numFmtId="0" fontId="41" fillId="38" borderId="22" xfId="0" applyFont="1" applyFill="1" applyBorder="1" applyAlignment="1">
      <alignment horizontal="center" vertical="top" wrapText="1"/>
    </xf>
    <xf numFmtId="0" fontId="41" fillId="38" borderId="25" xfId="0" applyFont="1" applyFill="1" applyBorder="1" applyAlignment="1">
      <alignment horizontal="center" vertical="top" wrapText="1"/>
    </xf>
    <xf numFmtId="0" fontId="41" fillId="38" borderId="19" xfId="0" applyFont="1" applyFill="1" applyBorder="1" applyAlignment="1">
      <alignment horizontal="center" vertical="top" wrapText="1"/>
    </xf>
    <xf numFmtId="0" fontId="41" fillId="38" borderId="0" xfId="0" applyFont="1" applyFill="1" applyAlignment="1">
      <alignment horizontal="center" vertical="top" wrapText="1"/>
    </xf>
    <xf numFmtId="0" fontId="41" fillId="38" borderId="26" xfId="0" applyFont="1" applyFill="1" applyBorder="1" applyAlignment="1">
      <alignment horizontal="center" vertical="top" wrapText="1"/>
    </xf>
    <xf numFmtId="0" fontId="41" fillId="38" borderId="27" xfId="0" applyFont="1" applyFill="1" applyBorder="1" applyAlignment="1">
      <alignment horizontal="center" vertical="top" wrapText="1"/>
    </xf>
    <xf numFmtId="0" fontId="41" fillId="38" borderId="28" xfId="0" applyFont="1" applyFill="1" applyBorder="1" applyAlignment="1">
      <alignment horizontal="center" vertical="top" wrapText="1"/>
    </xf>
    <xf numFmtId="0" fontId="41" fillId="38" borderId="29" xfId="0" applyFont="1" applyFill="1" applyBorder="1" applyAlignment="1">
      <alignment horizontal="center" vertical="top" wrapText="1"/>
    </xf>
    <xf numFmtId="0" fontId="27" fillId="39" borderId="15" xfId="0" applyFont="1" applyFill="1" applyBorder="1" applyAlignment="1" applyProtection="1">
      <alignment horizontal="left" vertical="top" wrapText="1"/>
      <protection locked="0"/>
    </xf>
    <xf numFmtId="0" fontId="29" fillId="41" borderId="15" xfId="0" applyFont="1" applyFill="1" applyBorder="1" applyAlignment="1" applyProtection="1">
      <alignment horizontal="center" vertical="top" wrapText="1"/>
      <protection locked="0"/>
    </xf>
    <xf numFmtId="0" fontId="27" fillId="39" borderId="16" xfId="0" applyFont="1" applyFill="1" applyBorder="1" applyAlignment="1" applyProtection="1">
      <alignment horizontal="left" vertical="top" wrapText="1"/>
      <protection locked="0"/>
    </xf>
    <xf numFmtId="0" fontId="27" fillId="39" borderId="17" xfId="0" applyFont="1" applyFill="1" applyBorder="1" applyAlignment="1" applyProtection="1">
      <alignment horizontal="left" vertical="top" wrapText="1"/>
      <protection locked="0"/>
    </xf>
    <xf numFmtId="0" fontId="27" fillId="39" borderId="18" xfId="0" applyFont="1" applyFill="1" applyBorder="1" applyAlignment="1" applyProtection="1">
      <alignment horizontal="left" vertical="top" wrapText="1"/>
      <protection locked="0"/>
    </xf>
    <xf numFmtId="0" fontId="29" fillId="41" borderId="16" xfId="0" applyFont="1" applyFill="1" applyBorder="1" applyAlignment="1" applyProtection="1">
      <alignment horizontal="center" vertical="top" wrapText="1"/>
      <protection locked="0"/>
    </xf>
    <xf numFmtId="0" fontId="29" fillId="41" borderId="17" xfId="0" applyFont="1" applyFill="1" applyBorder="1" applyAlignment="1" applyProtection="1">
      <alignment horizontal="center" vertical="top" wrapText="1"/>
      <protection locked="0"/>
    </xf>
    <xf numFmtId="0" fontId="29" fillId="41" borderId="18" xfId="0" applyFont="1" applyFill="1" applyBorder="1" applyAlignment="1" applyProtection="1">
      <alignment horizontal="center" vertical="top" wrapText="1"/>
      <protection locked="0"/>
    </xf>
    <xf numFmtId="0" fontId="27" fillId="0" borderId="17" xfId="0" applyFont="1" applyBorder="1" applyAlignment="1">
      <alignment horizontal="left" vertical="top" wrapText="1"/>
    </xf>
    <xf numFmtId="0" fontId="27" fillId="0" borderId="18" xfId="0" applyFont="1" applyBorder="1" applyAlignment="1">
      <alignment horizontal="left" vertical="top" wrapText="1"/>
    </xf>
    <xf numFmtId="0" fontId="27" fillId="0" borderId="17" xfId="0" applyFont="1" applyBorder="1" applyAlignment="1">
      <alignment horizontal="center" vertical="top"/>
    </xf>
    <xf numFmtId="0" fontId="29" fillId="40" borderId="15" xfId="0" applyFont="1" applyFill="1" applyBorder="1" applyAlignment="1">
      <alignment horizontal="left" vertical="top"/>
    </xf>
    <xf numFmtId="0" fontId="29" fillId="39" borderId="15" xfId="0" applyFont="1" applyFill="1" applyBorder="1" applyAlignment="1">
      <alignment horizontal="left" vertical="top"/>
    </xf>
    <xf numFmtId="0" fontId="45" fillId="0" borderId="28" xfId="0" applyFont="1" applyBorder="1" applyAlignment="1">
      <alignment horizontal="center"/>
    </xf>
    <xf numFmtId="0" fontId="45" fillId="0" borderId="0" xfId="0" applyFont="1" applyAlignment="1">
      <alignment horizontal="center"/>
    </xf>
  </cellXfs>
  <cellStyles count="49">
    <cellStyle name="20% - Accent1" xfId="24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40" builtinId="46" customBuiltin="1"/>
    <cellStyle name="20% - Accent6" xfId="44" builtinId="50" customBuiltin="1"/>
    <cellStyle name="40% - Accent1" xfId="25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1" builtinId="47" customBuiltin="1"/>
    <cellStyle name="40% - Accent6" xfId="45" builtinId="51" customBuiltin="1"/>
    <cellStyle name="60% - Accent1" xfId="26" builtinId="32" customBuiltin="1"/>
    <cellStyle name="60% - Accent2" xfId="30" builtinId="36" customBuiltin="1"/>
    <cellStyle name="60% - Accent3" xfId="34" builtinId="40" customBuiltin="1"/>
    <cellStyle name="60% - Accent4" xfId="38" builtinId="44" customBuiltin="1"/>
    <cellStyle name="60% - Accent5" xfId="42" builtinId="48" customBuiltin="1"/>
    <cellStyle name="60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Berekening" xfId="16" builtinId="22" customBuiltin="1"/>
    <cellStyle name="Controlecel" xfId="18" builtinId="23" customBuiltin="1"/>
    <cellStyle name="Gekoppelde cel" xfId="17" builtinId="24" customBuiltin="1"/>
    <cellStyle name="Goed" xfId="11" builtinId="26" customBuiltin="1"/>
    <cellStyle name="Invoer" xfId="14" builtinId="20" customBuiltin="1"/>
    <cellStyle name="Komma" xfId="2" builtinId="3" customBuiltin="1"/>
    <cellStyle name="Komma [0]" xfId="3" builtinId="6" customBuiltin="1"/>
    <cellStyle name="Kop 1" xfId="1" builtinId="16" customBuiltin="1"/>
    <cellStyle name="Kop 2" xfId="8" builtinId="17" customBuiltin="1"/>
    <cellStyle name="Kop 3" xfId="9" builtinId="18" customBuiltin="1"/>
    <cellStyle name="Kop 4" xfId="10" builtinId="19" customBuiltin="1"/>
    <cellStyle name="Neutraal" xfId="13" builtinId="28" customBuiltin="1"/>
    <cellStyle name="Notitie" xfId="20" builtinId="10" customBuiltin="1"/>
    <cellStyle name="Ongeldig" xfId="12" builtinId="27" customBuiltin="1"/>
    <cellStyle name="Procent" xfId="6" builtinId="5" customBuiltin="1"/>
    <cellStyle name="Standaard" xfId="0" builtinId="0" customBuiltin="1"/>
    <cellStyle name="Standaard 2" xfId="47" xr:uid="{DA91438E-CA48-4471-B02F-423FE8C1C7D7}"/>
    <cellStyle name="Titel" xfId="7" builtinId="15" customBuiltin="1"/>
    <cellStyle name="Totaal" xfId="22" builtinId="25" customBuiltin="1"/>
    <cellStyle name="Uitvoer" xfId="15" builtinId="21" customBuiltin="1"/>
    <cellStyle name="Valuta" xfId="4" builtinId="4" customBuiltin="1"/>
    <cellStyle name="Valuta [0]" xfId="5" builtinId="7" customBuiltin="1"/>
    <cellStyle name="Valuta 2" xfId="48" xr:uid="{39635A91-FE8F-4EBA-87B2-969B1F80CB4B}"/>
    <cellStyle name="Verklarende tekst" xfId="21" builtinId="53" customBuiltin="1"/>
    <cellStyle name="Waarschuwingstekst" xfId="19" builtinId="11" customBuiltin="1"/>
  </cellStyles>
  <dxfs count="28">
    <dxf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/>
        <bottom/>
        <vertical/>
        <horizontal/>
      </border>
    </dxf>
    <dxf>
      <border diagonalUp="0" diagonalDown="0">
        <left style="thin">
          <color theme="4" tint="-0.499984740745262"/>
        </left>
        <right style="medium">
          <color theme="0"/>
        </right>
        <top style="thin">
          <color theme="4" tint="-0.499984740745262"/>
        </top>
        <bottom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theme="0"/>
        <name val="Corbel"/>
        <family val="2"/>
        <scheme val="none"/>
      </font>
      <fill>
        <patternFill patternType="solid">
          <fgColor theme="4"/>
          <bgColor theme="4" tint="-0.499984740745262"/>
        </patternFill>
      </fill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0"/>
      </font>
      <fill>
        <patternFill patternType="solid">
          <fgColor theme="4"/>
          <bgColor theme="4" tint="-0.499984740745262"/>
        </patternFill>
      </fill>
      <border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vertical style="medium">
          <color theme="0"/>
        </vertical>
      </border>
    </dxf>
    <dxf>
      <font>
        <b val="0"/>
        <i val="0"/>
        <color auto="1"/>
      </font>
      <fill>
        <patternFill patternType="none">
          <bgColor auto="1"/>
        </patternFill>
      </fill>
      <border>
        <left style="thin">
          <color theme="0"/>
        </left>
        <right/>
        <bottom style="thin">
          <color theme="4" tint="-0.499984740745262"/>
        </bottom>
        <vertical style="thin">
          <color theme="0"/>
        </vertical>
        <horizontal/>
      </border>
    </dxf>
    <dxf>
      <font>
        <sz val="16"/>
        <color theme="0"/>
        <name val="Tw Cen MT Condensed Extra Bold"/>
        <scheme val="major"/>
      </font>
      <fill>
        <patternFill>
          <bgColor theme="4" tint="-0.499984740745262"/>
        </patternFill>
      </fill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2" defaultTableStyle="Vacation Items Checklist Table" defaultPivotStyle="PivotStyleLight16">
    <tableStyle name="Controlelijst voor vakantie" pivot="0" table="0" count="10" xr9:uid="{00000000-0011-0000-FFFF-FFFF00000000}">
      <tableStyleElement type="wholeTable" dxfId="27"/>
      <tableStyleElement type="headerRow" dxfId="26"/>
    </tableStyle>
    <tableStyle name="Vacation Items Checklist Table" pivot="0" count="3" xr9:uid="{00000000-0011-0000-FFFF-FFFF01000000}">
      <tableStyleElement type="wholeTable" dxfId="25"/>
      <tableStyleElement type="headerRow" dxfId="24"/>
      <tableStyleElement type="firstRowStripe" dxfId="23"/>
    </tableStyle>
  </tableStyles>
  <colors>
    <mruColors>
      <color rgb="FFFFFFFF"/>
      <color rgb="FF1A4A5D"/>
      <color rgb="FF3494BA"/>
      <color rgb="FFF49914"/>
    </mruColors>
  </colors>
  <extLst>
    <ext xmlns:x14="http://schemas.microsoft.com/office/spreadsheetml/2009/9/main" uri="{46F421CA-312F-682f-3DD2-61675219B42D}">
      <x14:dxfs count="8">
        <dxf>
          <font>
            <sz val="12"/>
            <color theme="1" tint="0.499984740745262"/>
          </font>
          <fill>
            <patternFill patternType="solid">
              <fgColor auto="1"/>
              <bgColor theme="0" tint="-4.9989318521683403E-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2"/>
            <color theme="1" tint="0.499984740745262"/>
          </font>
          <fill>
            <patternFill patternType="solid">
              <fgColor auto="1"/>
              <bgColor theme="0" tint="-4.9989318521683403E-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2"/>
            <color theme="4" tint="-0.499984740745262"/>
          </font>
          <fill>
            <patternFill patternType="solid">
              <fgColor auto="1"/>
              <bgColor theme="4" tint="0.3999450666829432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2"/>
            <color theme="0"/>
            <name val="Franklin Gothic Book"/>
            <scheme val="minor"/>
          </font>
          <fill>
            <patternFill patternType="solid">
              <fgColor auto="1"/>
              <bgColor theme="4" tint="0.3999450666829432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2"/>
            <color theme="1" tint="0.499984740745262"/>
          </font>
          <fill>
            <patternFill patternType="solid">
              <fgColor theme="4" tint="0.59999389629810485"/>
              <bgColor theme="0" tint="-4.9989318521683403E-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2"/>
            <color theme="0"/>
          </font>
          <fill>
            <patternFill patternType="solid">
              <fgColor theme="4"/>
              <bgColor theme="4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2"/>
            <color theme="1" tint="0.499984740745262"/>
          </font>
          <fill>
            <patternFill patternType="solid">
              <fgColor rgb="FFDFDFDF"/>
              <bgColor theme="0" tint="-4.9989318521683403E-2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sz val="12"/>
            <color theme="4" tint="-0.499984740745262"/>
          </font>
          <fill>
            <patternFill patternType="solid">
              <fgColor rgb="FFC0C0C0"/>
              <bgColor theme="0"/>
            </patternFill>
          </fill>
          <border diagonalUp="0" diagonalDown="0"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Controlelijst voor vakantie">
        <x14:slicerStyle name="Controlelijst voor vakantie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ustomXml" Target="../customXml/item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alcChain" Target="calcChain.xml"/><Relationship Id="rId5" Type="http://schemas.openxmlformats.org/officeDocument/2006/relationships/styles" Target="styles.xml"/><Relationship Id="rId15" Type="http://schemas.openxmlformats.org/officeDocument/2006/relationships/customXml" Target="../customXml/item4.xml"/><Relationship Id="rId10" Type="http://schemas.microsoft.com/office/2017/06/relationships/rdRichValueTypes" Target="richData/rdRichValueTypes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35718</xdr:colOff>
      <xdr:row>1</xdr:row>
      <xdr:rowOff>1579</xdr:rowOff>
    </xdr:from>
    <xdr:to>
      <xdr:col>11</xdr:col>
      <xdr:colOff>513870</xdr:colOff>
      <xdr:row>1</xdr:row>
      <xdr:rowOff>244075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554E33C5-7FAC-4DFF-AC39-21D80FA25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61268" y="192079"/>
          <a:ext cx="1116327" cy="236146"/>
        </a:xfrm>
        <a:prstGeom prst="rect">
          <a:avLst/>
        </a:prstGeom>
      </xdr:spPr>
    </xdr:pic>
    <xdr:clientData/>
  </xdr:twoCellAnchor>
  <xdr:twoCellAnchor editAs="oneCell">
    <xdr:from>
      <xdr:col>10</xdr:col>
      <xdr:colOff>35718</xdr:colOff>
      <xdr:row>1</xdr:row>
      <xdr:rowOff>1579</xdr:rowOff>
    </xdr:from>
    <xdr:to>
      <xdr:col>11</xdr:col>
      <xdr:colOff>513870</xdr:colOff>
      <xdr:row>1</xdr:row>
      <xdr:rowOff>244075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958DD2C3-22ED-4764-9557-2A3E33CD8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61268" y="192079"/>
          <a:ext cx="1116327" cy="2361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5715</xdr:colOff>
      <xdr:row>40</xdr:row>
      <xdr:rowOff>153030</xdr:rowOff>
    </xdr:from>
    <xdr:to>
      <xdr:col>18</xdr:col>
      <xdr:colOff>447701</xdr:colOff>
      <xdr:row>63</xdr:row>
      <xdr:rowOff>55245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8887316D-E115-4E5F-9511-718F9D21A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30215" y="6782430"/>
          <a:ext cx="2962936" cy="3626490"/>
        </a:xfrm>
        <a:prstGeom prst="rect">
          <a:avLst/>
        </a:prstGeom>
      </xdr:spPr>
    </xdr:pic>
    <xdr:clientData/>
  </xdr:twoCellAnchor>
  <xdr:twoCellAnchor editAs="oneCell">
    <xdr:from>
      <xdr:col>4</xdr:col>
      <xdr:colOff>86921</xdr:colOff>
      <xdr:row>0</xdr:row>
      <xdr:rowOff>0</xdr:rowOff>
    </xdr:from>
    <xdr:to>
      <xdr:col>8</xdr:col>
      <xdr:colOff>109835</xdr:colOff>
      <xdr:row>18</xdr:row>
      <xdr:rowOff>124996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A859A328-15D5-4E2F-4258-A566A293A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70143" y="0"/>
          <a:ext cx="6266923" cy="3334921"/>
        </a:xfrm>
        <a:prstGeom prst="rect">
          <a:avLst/>
        </a:prstGeom>
      </xdr:spPr>
    </xdr:pic>
    <xdr:clientData/>
  </xdr:twoCellAnchor>
  <xdr:twoCellAnchor editAs="oneCell">
    <xdr:from>
      <xdr:col>4</xdr:col>
      <xdr:colOff>81896</xdr:colOff>
      <xdr:row>20</xdr:row>
      <xdr:rowOff>94025</xdr:rowOff>
    </xdr:from>
    <xdr:to>
      <xdr:col>10</xdr:col>
      <xdr:colOff>48874</xdr:colOff>
      <xdr:row>39</xdr:row>
      <xdr:rowOff>131892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49A7B41D-26D5-71B1-B17B-42439E56F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60093" y="3599225"/>
          <a:ext cx="7058023" cy="3299227"/>
        </a:xfrm>
        <a:prstGeom prst="rect">
          <a:avLst/>
        </a:prstGeom>
      </xdr:spPr>
    </xdr:pic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31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1736D11-6C23-49A1-869D-07E8949A9880}" name="Deelvisies" displayName="Deelvisies" ref="A2:C11" totalsRowShown="0">
  <autoFilter ref="A2:C11" xr:uid="{B1736D11-6C23-49A1-869D-07E8949A9880}"/>
  <tableColumns count="3">
    <tableColumn id="1" xr3:uid="{A40C7A35-9C77-4BF8-9C56-BD3921800C2C}" name="#"/>
    <tableColumn id="2" xr3:uid="{A7416C3B-4822-4BF3-8531-5F4230385FAB}" name="Deelvisie"/>
    <tableColumn id="3" xr3:uid="{CA471907-EB5D-498F-9907-B82F844E65D2}" name="Trekkers Deelvisies"/>
  </tableColumns>
  <tableStyleInfo name="Vacation Items Checklist 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6920428-2650-423A-9111-BDDDEE0AC8B1}" name="Grote_Ontwikkelingen" displayName="Grote_Ontwikkelingen" ref="A14:C23" totalsRowShown="0">
  <autoFilter ref="A14:C23" xr:uid="{26920428-2650-423A-9111-BDDDEE0AC8B1}"/>
  <tableColumns count="3">
    <tableColumn id="1" xr3:uid="{6B74F76E-CC9F-4A84-83D6-3B84D2E6CC22}" name="Kolom1"/>
    <tableColumn id="2" xr3:uid="{E680FEFA-A67D-4FBE-850A-4A297D9EDCBA}" name="Grote Ontwikkeling"/>
    <tableColumn id="3" xr3:uid="{8701AB33-EDC1-4DE7-ADD3-2176B2BD866B}" name="Trekkers Grote Ontwikkelingen"/>
  </tableColumns>
  <tableStyleInfo name="Vacation Items Checklist 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D2CDB65-359C-47D4-8FF7-92B9C276FFBE}" name="BKN" displayName="BKN" ref="A26:C44" totalsRowShown="0">
  <autoFilter ref="A26:C44" xr:uid="{1D2CDB65-359C-47D4-8FF7-92B9C276FFBE}"/>
  <tableColumns count="3">
    <tableColumn id="1" xr3:uid="{A984C7F7-01C1-47BC-AB9E-0E5035B2F918}" name="Kolom1"/>
    <tableColumn id="2" xr3:uid="{802E4BF6-ADBA-40C9-AFD5-78CB215E2382}" name="BKN Maatregel"/>
    <tableColumn id="3" xr3:uid="{3528F3B5-35B1-4ACB-831C-19E54C0A2D73}" name="Trekkers BKN"/>
  </tableColumns>
  <tableStyleInfo name="Vacation Items Checklist 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3253E8-52D9-4338-B812-ED44816CB2A1}" name="SnM" displayName="SnM" ref="A87:E119" totalsRowShown="0" headerRowDxfId="3" tableBorderDxfId="2">
  <autoFilter ref="A87:E119" xr:uid="{E73253E8-52D9-4338-B812-ED44816CB2A1}"/>
  <tableColumns count="5">
    <tableColumn id="1" xr3:uid="{64CACA99-F92B-4497-96B4-708BCECA5E10}" name="#"/>
    <tableColumn id="2" xr3:uid="{661EF1CD-3EF7-4463-8BEE-399406445A8F}" name="Deelvisie"/>
    <tableColumn id="3" xr3:uid="{5AB0BEC3-FEC3-4CEA-A706-9CE7AD679CE0}" name="Grote Ontwikkeling"/>
    <tableColumn id="4" xr3:uid="{54E48AB8-0757-4023-8503-07A4D291149C}" name="BKN Maatregel" dataDxfId="1"/>
    <tableColumn id="5" xr3:uid="{74D0EF14-38BC-4CF9-94CD-92773DB52955}" name="Programma"/>
  </tableColumns>
  <tableStyleInfo name="Vacation Items Checklist 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2290D2-D5F2-4B05-B301-B4B83AFC0126}" name="Programma" displayName="Programma" ref="A47:G79" totalsRowShown="0">
  <autoFilter ref="A47:G79" xr:uid="{082290D2-D5F2-4B05-B301-B4B83AFC0126}"/>
  <tableColumns count="7">
    <tableColumn id="1" xr3:uid="{B5CE91CD-CDC9-4D2D-9727-591998C367F3}" name="Kolom1"/>
    <tableColumn id="2" xr3:uid="{B4C984CC-DB41-4A93-81C4-C0F2D8317717}" name="Programma"/>
    <tableColumn id="3" xr3:uid="{8E6D4EA5-3CC8-463C-BC22-F9C3824DEEE6}" name="Trekker-Programma-Projectmanager"/>
    <tableColumn id="4" xr3:uid="{299DD37A-DF48-4B00-AB32-66386A5B69EC}" name="Opdrachtgever"/>
    <tableColumn id="5" xr3:uid="{7A57489D-86FC-476C-BC55-61498A2D457F}" name="Portefeuille"/>
    <tableColumn id="7" xr3:uid="{4A75C455-0CF7-477A-B8F3-8AC467708804}" name="Datum in LOT"/>
    <tableColumn id="6" xr3:uid="{D05270D9-783C-4A5E-9A39-72C605511530}" name="opmerking" dataDxfId="0"/>
  </tableColumns>
  <tableStyleInfo name="Vacation Items Checklist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Custom 5">
      <a:majorFont>
        <a:latin typeface="Tw Cen MT Condensed Extra Bold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92D4F-268D-4376-9E7B-E99B4BD94E0B}">
  <sheetPr>
    <tabColor rgb="FFFFFF00"/>
    <pageSetUpPr fitToPage="1"/>
  </sheetPr>
  <dimension ref="A1:M241"/>
  <sheetViews>
    <sheetView topLeftCell="A13" zoomScale="82" zoomScaleNormal="100" workbookViewId="0">
      <selection activeCell="N26" sqref="N26"/>
    </sheetView>
  </sheetViews>
  <sheetFormatPr defaultColWidth="9.33203125" defaultRowHeight="13.8" x14ac:dyDescent="0.3"/>
  <cols>
    <col min="1" max="1" width="4.5546875" style="59" bestFit="1" customWidth="1"/>
    <col min="2" max="2" width="97.5546875" style="29" bestFit="1" customWidth="1"/>
    <col min="3" max="3" width="27.5546875" style="29" customWidth="1"/>
    <col min="4" max="4" width="17.33203125" style="29" customWidth="1"/>
    <col min="5" max="5" width="13.33203125" style="29" customWidth="1"/>
    <col min="6" max="6" width="10.5546875" style="29" customWidth="1"/>
    <col min="7" max="9" width="9.5546875" style="29" bestFit="1" customWidth="1"/>
    <col min="10" max="10" width="9.33203125" style="29"/>
    <col min="11" max="12" width="9.5546875" style="29" bestFit="1" customWidth="1"/>
    <col min="13" max="16384" width="9.33203125" style="29"/>
  </cols>
  <sheetData>
    <row r="1" spans="1:13" ht="14.4" x14ac:dyDescent="0.3">
      <c r="A1" s="24"/>
      <c r="B1" s="25"/>
      <c r="C1" s="25"/>
      <c r="D1" s="25"/>
      <c r="E1" s="25"/>
      <c r="F1" s="25"/>
      <c r="G1" s="26"/>
      <c r="H1" s="27"/>
      <c r="I1" s="27"/>
      <c r="J1" s="27"/>
      <c r="K1" s="27"/>
      <c r="L1" s="27"/>
      <c r="M1" s="92"/>
    </row>
    <row r="2" spans="1:13" ht="23.4" x14ac:dyDescent="0.45">
      <c r="A2" s="24"/>
      <c r="B2" s="30" t="s">
        <v>0</v>
      </c>
      <c r="C2" s="25"/>
      <c r="D2" s="25"/>
      <c r="E2" s="25"/>
      <c r="F2" s="25"/>
      <c r="G2" s="27"/>
      <c r="H2" s="27"/>
      <c r="I2" s="27"/>
      <c r="J2" s="27"/>
      <c r="K2" s="27"/>
      <c r="L2" s="27"/>
      <c r="M2" s="92"/>
    </row>
    <row r="3" spans="1:13" ht="12.45" customHeight="1" x14ac:dyDescent="0.45">
      <c r="A3" s="24"/>
      <c r="B3" s="30"/>
      <c r="C3" s="25"/>
      <c r="D3" s="25"/>
      <c r="E3" s="25"/>
      <c r="F3" s="25"/>
      <c r="G3" s="27"/>
      <c r="H3" s="27"/>
      <c r="I3" s="27"/>
      <c r="J3" s="27"/>
      <c r="K3" s="27"/>
      <c r="L3" s="27"/>
      <c r="M3" s="92"/>
    </row>
    <row r="4" spans="1:13" ht="67.2" customHeight="1" x14ac:dyDescent="0.3">
      <c r="A4" s="24"/>
      <c r="B4" s="93" t="s">
        <v>1</v>
      </c>
      <c r="C4" s="94"/>
      <c r="D4" s="94"/>
      <c r="E4" s="94"/>
      <c r="F4" s="94"/>
      <c r="G4" s="94"/>
      <c r="H4" s="94"/>
      <c r="I4" s="94"/>
      <c r="J4" s="94"/>
      <c r="K4" s="94"/>
      <c r="L4" s="95"/>
      <c r="M4" s="92"/>
    </row>
    <row r="5" spans="1:13" ht="11.7" customHeight="1" x14ac:dyDescent="0.3">
      <c r="A5" s="24"/>
      <c r="B5" s="31"/>
      <c r="C5" s="32"/>
      <c r="D5" s="32"/>
      <c r="E5" s="32"/>
      <c r="F5" s="32"/>
      <c r="G5" s="32"/>
      <c r="H5" s="32"/>
      <c r="I5" s="32"/>
      <c r="J5" s="32"/>
      <c r="K5" s="32"/>
      <c r="L5" s="32"/>
      <c r="M5" s="92"/>
    </row>
    <row r="6" spans="1:13" ht="14.4" x14ac:dyDescent="0.3">
      <c r="A6" s="24"/>
      <c r="B6" s="33" t="s">
        <v>2</v>
      </c>
      <c r="C6" s="34"/>
      <c r="D6" s="25"/>
      <c r="E6" s="25"/>
      <c r="G6" s="27"/>
      <c r="H6" s="27"/>
      <c r="I6" s="27"/>
      <c r="J6" s="25" t="s">
        <v>3</v>
      </c>
      <c r="L6" s="27"/>
      <c r="M6" s="92"/>
    </row>
    <row r="7" spans="1:13" ht="21.75" customHeight="1" x14ac:dyDescent="0.3">
      <c r="A7" s="96" t="s">
        <v>4</v>
      </c>
      <c r="B7" s="97"/>
      <c r="C7" s="97"/>
      <c r="D7" s="97"/>
      <c r="E7" s="97"/>
      <c r="F7" s="97"/>
      <c r="G7" s="97"/>
      <c r="H7" s="97"/>
      <c r="I7" s="97"/>
      <c r="J7" s="97"/>
      <c r="K7" s="97"/>
      <c r="L7" s="97"/>
      <c r="M7" s="92"/>
    </row>
    <row r="8" spans="1:13" x14ac:dyDescent="0.3">
      <c r="A8" s="92"/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</row>
    <row r="9" spans="1:13" ht="15.75" customHeight="1" x14ac:dyDescent="0.3">
      <c r="A9" s="98" t="s">
        <v>5</v>
      </c>
      <c r="B9" s="98"/>
      <c r="C9" s="98"/>
      <c r="D9" s="98"/>
      <c r="E9" s="98"/>
      <c r="F9" s="98"/>
      <c r="G9" s="98"/>
      <c r="H9" s="98"/>
      <c r="I9" s="98"/>
      <c r="J9" s="98"/>
      <c r="K9" s="98"/>
      <c r="L9" s="98"/>
      <c r="M9" s="92"/>
    </row>
    <row r="10" spans="1:13" ht="14.4" x14ac:dyDescent="0.3">
      <c r="A10" s="36" t="s">
        <v>6</v>
      </c>
      <c r="B10" s="37" t="s">
        <v>7</v>
      </c>
      <c r="C10" s="99" t="s">
        <v>8</v>
      </c>
      <c r="D10" s="99"/>
      <c r="E10" s="99"/>
      <c r="F10" s="99"/>
      <c r="G10" s="99"/>
      <c r="H10" s="99"/>
      <c r="I10" s="99"/>
      <c r="J10" s="99"/>
      <c r="K10" s="99"/>
      <c r="L10" s="99"/>
      <c r="M10" s="92"/>
    </row>
    <row r="11" spans="1:13" ht="14.4" x14ac:dyDescent="0.3">
      <c r="A11" s="36" t="s">
        <v>9</v>
      </c>
      <c r="B11" s="37" t="s">
        <v>10</v>
      </c>
      <c r="C11" s="99">
        <v>46106</v>
      </c>
      <c r="D11" s="99"/>
      <c r="E11" s="99"/>
      <c r="F11" s="99"/>
      <c r="G11" s="99"/>
      <c r="H11" s="99"/>
      <c r="I11" s="99"/>
      <c r="J11" s="99"/>
      <c r="K11" s="99"/>
      <c r="L11" s="99"/>
      <c r="M11" s="92"/>
    </row>
    <row r="12" spans="1:13" ht="14.4" x14ac:dyDescent="0.3">
      <c r="A12" s="36" t="s">
        <v>11</v>
      </c>
      <c r="B12" s="38" t="s">
        <v>12</v>
      </c>
      <c r="C12" s="89" t="s">
        <v>13</v>
      </c>
      <c r="D12" s="90"/>
      <c r="E12" s="90"/>
      <c r="F12" s="90"/>
      <c r="G12" s="90"/>
      <c r="H12" s="90"/>
      <c r="I12" s="90"/>
      <c r="J12" s="90"/>
      <c r="K12" s="90"/>
      <c r="L12" s="91"/>
      <c r="M12" s="92"/>
    </row>
    <row r="13" spans="1:13" ht="14.4" x14ac:dyDescent="0.3">
      <c r="A13" s="36" t="s">
        <v>14</v>
      </c>
      <c r="B13" s="37" t="s">
        <v>15</v>
      </c>
      <c r="C13" s="100" t="s">
        <v>16</v>
      </c>
      <c r="D13" s="101"/>
      <c r="E13" s="101"/>
      <c r="F13" s="101"/>
      <c r="G13" s="101"/>
      <c r="H13" s="101"/>
      <c r="I13" s="101"/>
      <c r="J13" s="101"/>
      <c r="K13" s="101"/>
      <c r="L13" s="102"/>
      <c r="M13" s="92"/>
    </row>
    <row r="14" spans="1:13" ht="14.4" x14ac:dyDescent="0.3">
      <c r="A14" s="36" t="s">
        <v>17</v>
      </c>
      <c r="B14" s="40" t="s">
        <v>18</v>
      </c>
      <c r="C14" s="103" t="s">
        <v>19</v>
      </c>
      <c r="D14" s="103"/>
      <c r="E14" s="103"/>
      <c r="F14" s="103"/>
      <c r="G14" s="103"/>
      <c r="H14" s="103"/>
      <c r="I14" s="103"/>
      <c r="J14" s="103"/>
      <c r="K14" s="103"/>
      <c r="L14" s="103"/>
      <c r="M14" s="92"/>
    </row>
    <row r="15" spans="1:13" ht="14.4" x14ac:dyDescent="0.3">
      <c r="A15" s="66" t="s">
        <v>20</v>
      </c>
      <c r="B15" s="40" t="s">
        <v>21</v>
      </c>
      <c r="C15" s="49" t="s">
        <v>22</v>
      </c>
      <c r="D15" s="39" t="s">
        <v>23</v>
      </c>
      <c r="E15" s="65"/>
      <c r="F15" s="65"/>
      <c r="G15" s="65"/>
      <c r="H15" s="65"/>
      <c r="I15" s="65" t="s">
        <v>24</v>
      </c>
      <c r="J15" s="65"/>
      <c r="K15" s="68"/>
      <c r="L15" s="67"/>
      <c r="M15" s="92"/>
    </row>
    <row r="16" spans="1:13" ht="15" customHeight="1" x14ac:dyDescent="0.3">
      <c r="A16" s="104" t="s">
        <v>25</v>
      </c>
      <c r="B16" s="40" t="s">
        <v>26</v>
      </c>
      <c r="C16" s="39" t="s">
        <v>27</v>
      </c>
      <c r="D16" s="38" t="s">
        <v>28</v>
      </c>
      <c r="E16" s="106" t="s">
        <v>29</v>
      </c>
      <c r="F16" s="107"/>
      <c r="G16" s="42"/>
      <c r="H16" s="42"/>
      <c r="I16" s="42"/>
      <c r="J16" s="42"/>
      <c r="K16" s="42"/>
      <c r="L16" s="42"/>
      <c r="M16" s="92"/>
    </row>
    <row r="17" spans="1:13" ht="15" customHeight="1" x14ac:dyDescent="0.3">
      <c r="A17" s="105"/>
      <c r="B17" s="40" t="s">
        <v>30</v>
      </c>
      <c r="C17" s="42" t="s">
        <v>31</v>
      </c>
      <c r="D17" s="38" t="s">
        <v>32</v>
      </c>
      <c r="E17" s="106">
        <v>92</v>
      </c>
      <c r="F17" s="107"/>
      <c r="G17" s="42"/>
      <c r="H17" s="42"/>
      <c r="I17" s="42"/>
      <c r="J17" s="42"/>
      <c r="K17" s="43"/>
      <c r="L17" s="44"/>
      <c r="M17" s="92"/>
    </row>
    <row r="18" spans="1:13" ht="43.2" customHeight="1" x14ac:dyDescent="0.3">
      <c r="A18" s="36" t="s">
        <v>33</v>
      </c>
      <c r="B18" s="38" t="s">
        <v>34</v>
      </c>
      <c r="C18" s="89" t="s">
        <v>35</v>
      </c>
      <c r="D18" s="90"/>
      <c r="E18" s="90"/>
      <c r="F18" s="90"/>
      <c r="G18" s="90"/>
      <c r="H18" s="90"/>
      <c r="I18" s="108"/>
      <c r="J18" s="109"/>
      <c r="K18" s="109"/>
      <c r="L18" s="110"/>
      <c r="M18" s="92"/>
    </row>
    <row r="19" spans="1:13" ht="14.4" x14ac:dyDescent="0.3">
      <c r="A19" s="36" t="s">
        <v>36</v>
      </c>
      <c r="B19" s="38" t="s">
        <v>37</v>
      </c>
      <c r="C19" s="89" t="s">
        <v>38</v>
      </c>
      <c r="D19" s="90"/>
      <c r="E19" s="90"/>
      <c r="F19" s="90"/>
      <c r="G19" s="90"/>
      <c r="H19" s="90"/>
      <c r="I19" s="90"/>
      <c r="J19" s="90"/>
      <c r="K19" s="90"/>
      <c r="L19" s="91"/>
      <c r="M19" s="92"/>
    </row>
    <row r="20" spans="1:13" ht="28.95" customHeight="1" x14ac:dyDescent="0.3">
      <c r="A20" s="36" t="s">
        <v>39</v>
      </c>
      <c r="B20" s="48" t="s">
        <v>40</v>
      </c>
      <c r="C20" s="49" t="s">
        <v>22</v>
      </c>
      <c r="D20" s="112" t="s">
        <v>41</v>
      </c>
      <c r="E20" s="113"/>
      <c r="F20" s="113"/>
      <c r="G20" s="113"/>
      <c r="H20" s="113"/>
      <c r="I20" s="113"/>
      <c r="J20" s="114"/>
      <c r="K20" s="115" t="s">
        <v>42</v>
      </c>
      <c r="L20" s="116"/>
      <c r="M20" s="92"/>
    </row>
    <row r="21" spans="1:13" ht="28.8" x14ac:dyDescent="0.3">
      <c r="A21" s="36" t="s">
        <v>43</v>
      </c>
      <c r="B21" s="48" t="s">
        <v>44</v>
      </c>
      <c r="C21" s="50"/>
      <c r="D21" s="117" t="s">
        <v>45</v>
      </c>
      <c r="E21" s="117"/>
      <c r="F21" s="117"/>
      <c r="G21" s="50"/>
      <c r="H21" s="117" t="s">
        <v>46</v>
      </c>
      <c r="I21" s="117"/>
      <c r="J21" s="117"/>
      <c r="K21" s="118"/>
      <c r="L21" s="118"/>
      <c r="M21" s="92"/>
    </row>
    <row r="22" spans="1:13" ht="15" customHeight="1" x14ac:dyDescent="0.3">
      <c r="A22" s="119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92"/>
    </row>
    <row r="23" spans="1:13" ht="15.75" customHeight="1" x14ac:dyDescent="0.3">
      <c r="A23" s="98" t="s">
        <v>47</v>
      </c>
      <c r="B23" s="98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2"/>
    </row>
    <row r="24" spans="1:13" ht="14.4" x14ac:dyDescent="0.3">
      <c r="A24" s="120" t="s">
        <v>48</v>
      </c>
      <c r="B24" s="37" t="s">
        <v>49</v>
      </c>
      <c r="C24" s="103" t="s">
        <v>50</v>
      </c>
      <c r="D24" s="103"/>
      <c r="E24" s="103"/>
      <c r="F24" s="103"/>
      <c r="G24" s="103"/>
      <c r="H24" s="103"/>
      <c r="I24" s="103"/>
      <c r="J24" s="103"/>
      <c r="K24" s="103"/>
      <c r="L24" s="103"/>
      <c r="M24" s="92"/>
    </row>
    <row r="25" spans="1:13" ht="14.4" x14ac:dyDescent="0.3">
      <c r="A25" s="120"/>
      <c r="B25" s="37" t="s">
        <v>51</v>
      </c>
      <c r="C25" s="103" t="s">
        <v>52</v>
      </c>
      <c r="D25" s="103"/>
      <c r="E25" s="103"/>
      <c r="F25" s="103"/>
      <c r="G25" s="103"/>
      <c r="H25" s="103"/>
      <c r="I25" s="103"/>
      <c r="J25" s="103"/>
      <c r="K25" s="103"/>
      <c r="L25" s="103"/>
      <c r="M25" s="92"/>
    </row>
    <row r="26" spans="1:13" ht="14.4" x14ac:dyDescent="0.3">
      <c r="A26" s="120"/>
      <c r="B26" s="37" t="s">
        <v>53</v>
      </c>
      <c r="C26" s="103" t="s">
        <v>52</v>
      </c>
      <c r="D26" s="103"/>
      <c r="E26" s="103"/>
      <c r="F26" s="103"/>
      <c r="G26" s="103"/>
      <c r="H26" s="103"/>
      <c r="I26" s="103"/>
      <c r="J26" s="103"/>
      <c r="K26" s="103"/>
      <c r="L26" s="103"/>
      <c r="M26" s="92"/>
    </row>
    <row r="27" spans="1:13" x14ac:dyDescent="0.3">
      <c r="A27" s="111"/>
      <c r="B27" s="111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92"/>
    </row>
    <row r="28" spans="1:13" ht="15.75" customHeight="1" x14ac:dyDescent="0.3">
      <c r="A28" s="98" t="s">
        <v>54</v>
      </c>
      <c r="B28" s="98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2"/>
    </row>
    <row r="29" spans="1:13" ht="28.2" x14ac:dyDescent="0.3">
      <c r="A29" s="121" t="s">
        <v>55</v>
      </c>
      <c r="B29" s="63" t="s">
        <v>56</v>
      </c>
      <c r="C29" s="124" t="s">
        <v>22</v>
      </c>
      <c r="D29" s="125"/>
      <c r="E29" s="125"/>
      <c r="F29" s="125"/>
      <c r="G29" s="125"/>
      <c r="H29" s="125"/>
      <c r="I29" s="125"/>
      <c r="J29" s="125"/>
      <c r="K29" s="125"/>
      <c r="L29" s="126"/>
      <c r="M29" s="92"/>
    </row>
    <row r="30" spans="1:13" ht="14.4" x14ac:dyDescent="0.3">
      <c r="A30" s="122"/>
      <c r="B30" s="38" t="s">
        <v>57</v>
      </c>
      <c r="C30" s="127">
        <v>3000000</v>
      </c>
      <c r="D30" s="127"/>
      <c r="E30" s="127"/>
      <c r="F30" s="127"/>
      <c r="G30" s="127"/>
      <c r="H30" s="127"/>
      <c r="I30" s="127"/>
      <c r="J30" s="127"/>
      <c r="K30" s="127"/>
      <c r="L30" s="127"/>
      <c r="M30" s="92"/>
    </row>
    <row r="31" spans="1:13" ht="14.4" x14ac:dyDescent="0.3">
      <c r="A31" s="122"/>
      <c r="B31" s="38" t="s">
        <v>58</v>
      </c>
      <c r="C31" s="127" t="s">
        <v>59</v>
      </c>
      <c r="D31" s="127"/>
      <c r="E31" s="127"/>
      <c r="F31" s="127"/>
      <c r="G31" s="127"/>
      <c r="H31" s="127"/>
      <c r="I31" s="127"/>
      <c r="J31" s="127"/>
      <c r="K31" s="127"/>
      <c r="L31" s="127"/>
      <c r="M31" s="92"/>
    </row>
    <row r="32" spans="1:13" ht="18" customHeight="1" x14ac:dyDescent="0.3">
      <c r="A32" s="123"/>
      <c r="B32" s="40" t="s">
        <v>60</v>
      </c>
      <c r="C32" s="128" t="str">
        <f>_xlfn.IFS(C29="Kies","-",C29="Nee","Ga verder naar de volgende vraag.",C29="Ja","Lever het behandelvoorstel ExCo aan. U vindt het formulier op Focus of via de SharePoint Productieloket of SharePoint Kernproces.")</f>
        <v>Ga verder naar de volgende vraag.</v>
      </c>
      <c r="D32" s="128"/>
      <c r="E32" s="128"/>
      <c r="F32" s="128"/>
      <c r="G32" s="128"/>
      <c r="H32" s="128"/>
      <c r="I32" s="128"/>
      <c r="J32" s="128"/>
      <c r="K32" s="128"/>
      <c r="L32" s="128"/>
      <c r="M32" s="92"/>
    </row>
    <row r="33" spans="1:13" ht="46.5" customHeight="1" x14ac:dyDescent="0.3">
      <c r="A33" s="37" t="s">
        <v>61</v>
      </c>
      <c r="B33" s="38" t="s">
        <v>62</v>
      </c>
      <c r="C33" s="103" t="s">
        <v>63</v>
      </c>
      <c r="D33" s="103"/>
      <c r="E33" s="103"/>
      <c r="F33" s="128" t="str">
        <f>IF(C33="Ja, aanvraag financiering bij startbeslissing","Indiener regelt externe financiering voor startfase (externe startbeslissing) na interne startbeslissing.","-")</f>
        <v>-</v>
      </c>
      <c r="G33" s="128"/>
      <c r="H33" s="128"/>
      <c r="I33" s="128"/>
      <c r="J33" s="128"/>
      <c r="K33" s="128"/>
      <c r="L33" s="128"/>
      <c r="M33" s="92"/>
    </row>
    <row r="34" spans="1:13" ht="46.5" customHeight="1" x14ac:dyDescent="0.3">
      <c r="A34" s="71" t="s">
        <v>64</v>
      </c>
      <c r="B34" s="69" t="s">
        <v>65</v>
      </c>
      <c r="C34" s="103" t="s">
        <v>66</v>
      </c>
      <c r="D34" s="103"/>
      <c r="E34" s="103"/>
      <c r="F34" s="70"/>
      <c r="G34" s="70"/>
      <c r="H34" s="70"/>
      <c r="I34" s="70"/>
      <c r="J34" s="70"/>
      <c r="K34" s="70"/>
      <c r="L34" s="70"/>
      <c r="M34" s="92"/>
    </row>
    <row r="35" spans="1:13" x14ac:dyDescent="0.3">
      <c r="A35" s="129"/>
      <c r="B35" s="129"/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92"/>
    </row>
    <row r="36" spans="1:13" ht="15.75" customHeight="1" x14ac:dyDescent="0.3">
      <c r="A36" s="98" t="s">
        <v>67</v>
      </c>
      <c r="B36" s="98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2"/>
    </row>
    <row r="37" spans="1:13" ht="93.75" customHeight="1" x14ac:dyDescent="0.3">
      <c r="A37" s="48" t="s">
        <v>68</v>
      </c>
      <c r="B37" s="48" t="s">
        <v>69</v>
      </c>
      <c r="C37" s="130"/>
      <c r="D37" s="130"/>
      <c r="E37" s="130"/>
      <c r="F37" s="130"/>
      <c r="G37" s="130"/>
      <c r="H37" s="130"/>
      <c r="I37" s="130"/>
      <c r="J37" s="130"/>
      <c r="K37" s="130"/>
      <c r="L37" s="130"/>
      <c r="M37" s="92"/>
    </row>
    <row r="38" spans="1:13" ht="27" customHeight="1" x14ac:dyDescent="0.3">
      <c r="A38" s="48" t="s">
        <v>70</v>
      </c>
      <c r="B38" s="48" t="s">
        <v>71</v>
      </c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92"/>
    </row>
    <row r="39" spans="1:13" s="51" customFormat="1" ht="66" customHeight="1" x14ac:dyDescent="0.3">
      <c r="A39" s="37" t="s">
        <v>72</v>
      </c>
      <c r="B39" s="38" t="s">
        <v>73</v>
      </c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92"/>
    </row>
    <row r="40" spans="1:13" s="51" customFormat="1" ht="14.4" x14ac:dyDescent="0.3">
      <c r="A40" s="37" t="s">
        <v>74</v>
      </c>
      <c r="B40" s="62" t="s">
        <v>75</v>
      </c>
      <c r="C40" s="130" t="s">
        <v>52</v>
      </c>
      <c r="D40" s="130"/>
      <c r="E40" s="130"/>
      <c r="F40" s="130"/>
      <c r="G40" s="130"/>
      <c r="H40" s="130"/>
      <c r="I40" s="130"/>
      <c r="J40" s="130"/>
      <c r="K40" s="130"/>
      <c r="L40" s="130"/>
      <c r="M40" s="92"/>
    </row>
    <row r="41" spans="1:13" s="51" customFormat="1" ht="14.4" x14ac:dyDescent="0.3">
      <c r="A41" s="37" t="s">
        <v>76</v>
      </c>
      <c r="B41" s="62" t="s">
        <v>77</v>
      </c>
      <c r="C41" s="130" t="s">
        <v>52</v>
      </c>
      <c r="D41" s="130"/>
      <c r="E41" s="130"/>
      <c r="F41" s="130"/>
      <c r="G41" s="130"/>
      <c r="H41" s="130"/>
      <c r="I41" s="130"/>
      <c r="J41" s="130"/>
      <c r="K41" s="130"/>
      <c r="L41" s="130"/>
      <c r="M41" s="92"/>
    </row>
    <row r="42" spans="1:13" s="51" customFormat="1" ht="14.4" x14ac:dyDescent="0.3">
      <c r="A42" s="37"/>
      <c r="B42" s="62" t="s">
        <v>350</v>
      </c>
      <c r="C42" s="87" t="s">
        <v>352</v>
      </c>
      <c r="D42" s="87"/>
      <c r="E42" s="87"/>
      <c r="F42" s="87"/>
      <c r="G42" s="87"/>
      <c r="H42" s="87"/>
      <c r="I42" s="87"/>
      <c r="J42" s="87"/>
      <c r="K42" s="87"/>
      <c r="L42" s="87"/>
      <c r="M42" s="92"/>
    </row>
    <row r="43" spans="1:13" s="51" customFormat="1" ht="14.4" x14ac:dyDescent="0.3">
      <c r="A43" s="37"/>
      <c r="B43" s="62" t="s">
        <v>351</v>
      </c>
      <c r="C43" s="87" t="s">
        <v>353</v>
      </c>
      <c r="D43" s="87"/>
      <c r="E43" s="87"/>
      <c r="F43" s="87"/>
      <c r="G43" s="87"/>
      <c r="H43" s="87"/>
      <c r="I43" s="87"/>
      <c r="J43" s="87"/>
      <c r="K43" s="87"/>
      <c r="L43" s="87"/>
      <c r="M43" s="92"/>
    </row>
    <row r="44" spans="1:13" s="51" customFormat="1" ht="14.4" x14ac:dyDescent="0.3">
      <c r="A44" s="37" t="s">
        <v>78</v>
      </c>
      <c r="B44" s="52" t="s">
        <v>79</v>
      </c>
      <c r="C44" s="130" t="s">
        <v>52</v>
      </c>
      <c r="D44" s="130"/>
      <c r="E44" s="130"/>
      <c r="F44" s="130"/>
      <c r="G44" s="130"/>
      <c r="H44" s="130"/>
      <c r="I44" s="130"/>
      <c r="J44" s="130"/>
      <c r="K44" s="130"/>
      <c r="L44" s="130"/>
      <c r="M44" s="92"/>
    </row>
    <row r="45" spans="1:13" s="51" customFormat="1" ht="14.4" x14ac:dyDescent="0.3">
      <c r="A45" s="131"/>
      <c r="B45" s="132"/>
      <c r="C45" s="132"/>
      <c r="D45" s="132"/>
      <c r="E45" s="132"/>
      <c r="F45" s="132"/>
      <c r="G45" s="132"/>
      <c r="H45" s="132"/>
      <c r="I45" s="132"/>
      <c r="J45" s="132"/>
      <c r="K45" s="132"/>
      <c r="L45" s="132"/>
      <c r="M45" s="92"/>
    </row>
    <row r="46" spans="1:13" s="51" customFormat="1" ht="15.75" customHeight="1" x14ac:dyDescent="0.3">
      <c r="A46" s="98" t="s">
        <v>80</v>
      </c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2"/>
    </row>
    <row r="47" spans="1:13" s="51" customFormat="1" ht="15.75" customHeight="1" x14ac:dyDescent="0.3">
      <c r="A47" s="35"/>
      <c r="B47" s="35"/>
      <c r="C47" s="133" t="s">
        <v>81</v>
      </c>
      <c r="D47" s="134"/>
      <c r="E47" s="135"/>
      <c r="F47" s="133" t="s">
        <v>82</v>
      </c>
      <c r="G47" s="134"/>
      <c r="H47" s="134"/>
      <c r="I47" s="135"/>
      <c r="J47" s="136"/>
      <c r="K47" s="137"/>
      <c r="L47" s="138"/>
      <c r="M47" s="92"/>
    </row>
    <row r="48" spans="1:13" s="51" customFormat="1" ht="14.4" x14ac:dyDescent="0.3">
      <c r="A48" s="37" t="s">
        <v>83</v>
      </c>
      <c r="B48" s="52" t="s">
        <v>84</v>
      </c>
      <c r="C48" s="145">
        <v>2026</v>
      </c>
      <c r="D48" s="145"/>
      <c r="E48" s="145"/>
      <c r="F48" s="146" t="s">
        <v>85</v>
      </c>
      <c r="G48" s="146"/>
      <c r="H48" s="146"/>
      <c r="I48" s="146"/>
      <c r="J48" s="139"/>
      <c r="K48" s="140"/>
      <c r="L48" s="141"/>
      <c r="M48" s="92"/>
    </row>
    <row r="49" spans="1:13" s="51" customFormat="1" ht="14.4" x14ac:dyDescent="0.3">
      <c r="A49" s="37" t="s">
        <v>86</v>
      </c>
      <c r="B49" s="52" t="s">
        <v>355</v>
      </c>
      <c r="C49" s="147">
        <v>2030</v>
      </c>
      <c r="D49" s="148"/>
      <c r="E49" s="149"/>
      <c r="F49" s="150" t="s">
        <v>357</v>
      </c>
      <c r="G49" s="151"/>
      <c r="H49" s="151"/>
      <c r="I49" s="152"/>
      <c r="J49" s="139"/>
      <c r="K49" s="140"/>
      <c r="L49" s="141"/>
      <c r="M49" s="92"/>
    </row>
    <row r="50" spans="1:13" s="51" customFormat="1" ht="14.4" x14ac:dyDescent="0.3">
      <c r="A50" s="37" t="s">
        <v>87</v>
      </c>
      <c r="B50" s="52" t="s">
        <v>356</v>
      </c>
      <c r="C50" s="147">
        <v>2030</v>
      </c>
      <c r="D50" s="148"/>
      <c r="E50" s="149"/>
      <c r="F50" s="150" t="s">
        <v>357</v>
      </c>
      <c r="G50" s="151"/>
      <c r="H50" s="151"/>
      <c r="I50" s="152"/>
      <c r="J50" s="142"/>
      <c r="K50" s="143"/>
      <c r="L50" s="144"/>
      <c r="M50" s="92"/>
    </row>
    <row r="51" spans="1:13" s="51" customFormat="1" ht="15.6" x14ac:dyDescent="0.3">
      <c r="A51" s="37"/>
      <c r="B51" s="52" t="s">
        <v>354</v>
      </c>
      <c r="C51" s="82">
        <v>1</v>
      </c>
      <c r="D51" s="78"/>
      <c r="E51" s="83"/>
      <c r="F51" s="84"/>
      <c r="G51" s="85"/>
      <c r="H51" s="85"/>
      <c r="I51" s="86"/>
      <c r="J51" s="79"/>
      <c r="K51" s="80"/>
      <c r="L51" s="81"/>
      <c r="M51" s="92"/>
    </row>
    <row r="52" spans="1:13" s="51" customFormat="1" ht="15.6" x14ac:dyDescent="0.3">
      <c r="A52" s="37"/>
      <c r="B52" s="52" t="s">
        <v>349</v>
      </c>
      <c r="C52" s="82">
        <v>72</v>
      </c>
      <c r="D52" s="78"/>
      <c r="E52" s="83"/>
      <c r="F52" s="84"/>
      <c r="G52" s="85"/>
      <c r="H52" s="85"/>
      <c r="I52" s="86"/>
      <c r="J52" s="79"/>
      <c r="K52" s="80"/>
      <c r="L52" s="81"/>
      <c r="M52" s="92"/>
    </row>
    <row r="53" spans="1:13" s="51" customFormat="1" ht="15" customHeight="1" x14ac:dyDescent="0.3">
      <c r="A53" s="52" t="s">
        <v>88</v>
      </c>
      <c r="B53" s="52" t="s">
        <v>89</v>
      </c>
      <c r="C53" s="103" t="s">
        <v>348</v>
      </c>
      <c r="D53" s="103"/>
      <c r="E53" s="103"/>
      <c r="F53" s="103"/>
      <c r="G53" s="103"/>
      <c r="H53" s="103"/>
      <c r="I53" s="103"/>
      <c r="J53" s="103"/>
      <c r="K53" s="103"/>
      <c r="L53" s="103"/>
      <c r="M53" s="92"/>
    </row>
    <row r="54" spans="1:13" s="51" customFormat="1" ht="15" customHeight="1" x14ac:dyDescent="0.3">
      <c r="A54" s="88"/>
      <c r="B54" s="88"/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92"/>
    </row>
    <row r="55" spans="1:13" ht="14.4" x14ac:dyDescent="0.3">
      <c r="A55" s="155"/>
      <c r="B55" s="155"/>
      <c r="C55" s="155"/>
      <c r="D55" s="155"/>
      <c r="E55" s="155"/>
      <c r="F55" s="155"/>
      <c r="G55" s="155"/>
      <c r="H55" s="155"/>
      <c r="I55" s="155"/>
      <c r="J55" s="155"/>
      <c r="K55" s="155"/>
      <c r="L55" s="155"/>
      <c r="M55" s="92"/>
    </row>
    <row r="56" spans="1:13" s="53" customFormat="1" ht="15.6" x14ac:dyDescent="0.3">
      <c r="A56" s="108" t="s">
        <v>90</v>
      </c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10"/>
      <c r="M56" s="92"/>
    </row>
    <row r="57" spans="1:13" s="53" customFormat="1" ht="15.6" x14ac:dyDescent="0.3">
      <c r="A57" s="45"/>
      <c r="B57" s="46" t="s">
        <v>91</v>
      </c>
      <c r="C57" s="46"/>
      <c r="D57" s="46"/>
      <c r="E57" s="46"/>
      <c r="F57" s="46"/>
      <c r="G57" s="46"/>
      <c r="H57" s="46"/>
      <c r="I57" s="46"/>
      <c r="J57" s="46"/>
      <c r="K57" s="46"/>
      <c r="L57" s="47"/>
      <c r="M57" s="92"/>
    </row>
    <row r="58" spans="1:13" s="53" customFormat="1" ht="14.4" x14ac:dyDescent="0.3">
      <c r="A58" s="23" t="s">
        <v>92</v>
      </c>
      <c r="B58" s="54" t="s">
        <v>93</v>
      </c>
      <c r="C58" s="55" t="s">
        <v>52</v>
      </c>
      <c r="D58" s="148" t="s">
        <v>94</v>
      </c>
      <c r="E58" s="153"/>
      <c r="F58" s="153"/>
      <c r="G58" s="153"/>
      <c r="H58" s="153"/>
      <c r="I58" s="153"/>
      <c r="J58" s="153"/>
      <c r="K58" s="153"/>
      <c r="L58" s="154"/>
      <c r="M58" s="92"/>
    </row>
    <row r="59" spans="1:13" s="53" customFormat="1" ht="14.4" x14ac:dyDescent="0.3">
      <c r="A59" s="23" t="s">
        <v>95</v>
      </c>
      <c r="B59" s="54" t="s">
        <v>96</v>
      </c>
      <c r="C59" s="55" t="s">
        <v>52</v>
      </c>
      <c r="D59" s="148" t="s">
        <v>94</v>
      </c>
      <c r="E59" s="153"/>
      <c r="F59" s="153"/>
      <c r="G59" s="153"/>
      <c r="H59" s="153"/>
      <c r="I59" s="153"/>
      <c r="J59" s="153"/>
      <c r="K59" s="153"/>
      <c r="L59" s="154"/>
      <c r="M59" s="92"/>
    </row>
    <row r="60" spans="1:13" s="53" customFormat="1" ht="14.4" x14ac:dyDescent="0.3">
      <c r="A60" s="23" t="s">
        <v>97</v>
      </c>
      <c r="B60" s="23" t="s">
        <v>98</v>
      </c>
      <c r="C60" s="55" t="s">
        <v>52</v>
      </c>
      <c r="D60" s="148" t="s">
        <v>94</v>
      </c>
      <c r="E60" s="153"/>
      <c r="F60" s="153"/>
      <c r="G60" s="153"/>
      <c r="H60" s="153"/>
      <c r="I60" s="153"/>
      <c r="J60" s="153"/>
      <c r="K60" s="153"/>
      <c r="L60" s="154"/>
      <c r="M60" s="92"/>
    </row>
    <row r="61" spans="1:13" s="53" customFormat="1" ht="14.4" x14ac:dyDescent="0.3">
      <c r="A61" s="23" t="s">
        <v>99</v>
      </c>
      <c r="B61" s="23" t="s">
        <v>100</v>
      </c>
      <c r="C61" s="55" t="s">
        <v>52</v>
      </c>
      <c r="D61" s="148" t="s">
        <v>94</v>
      </c>
      <c r="E61" s="153"/>
      <c r="F61" s="153"/>
      <c r="G61" s="153"/>
      <c r="H61" s="153"/>
      <c r="I61" s="153"/>
      <c r="J61" s="153"/>
      <c r="K61" s="153"/>
      <c r="L61" s="154"/>
      <c r="M61" s="92"/>
    </row>
    <row r="62" spans="1:13" s="53" customFormat="1" ht="14.4" x14ac:dyDescent="0.3">
      <c r="A62" s="23" t="s">
        <v>101</v>
      </c>
      <c r="B62" s="23" t="s">
        <v>102</v>
      </c>
      <c r="C62" s="55" t="s">
        <v>52</v>
      </c>
      <c r="D62" s="148" t="s">
        <v>94</v>
      </c>
      <c r="E62" s="153"/>
      <c r="F62" s="153"/>
      <c r="G62" s="153"/>
      <c r="H62" s="153"/>
      <c r="I62" s="153"/>
      <c r="J62" s="153"/>
      <c r="K62" s="153"/>
      <c r="L62" s="154"/>
      <c r="M62" s="92"/>
    </row>
    <row r="63" spans="1:13" s="53" customFormat="1" ht="14.7" customHeight="1" x14ac:dyDescent="0.3">
      <c r="A63" s="23" t="s">
        <v>103</v>
      </c>
      <c r="B63" s="23" t="s">
        <v>104</v>
      </c>
      <c r="C63" s="55" t="s">
        <v>52</v>
      </c>
      <c r="D63" s="148" t="s">
        <v>94</v>
      </c>
      <c r="E63" s="153"/>
      <c r="F63" s="153"/>
      <c r="G63" s="153"/>
      <c r="H63" s="153"/>
      <c r="I63" s="153"/>
      <c r="J63" s="153"/>
      <c r="K63" s="153"/>
      <c r="L63" s="154"/>
      <c r="M63" s="92"/>
    </row>
    <row r="64" spans="1:13" s="53" customFormat="1" ht="15.6" x14ac:dyDescent="0.3">
      <c r="A64" s="45"/>
      <c r="B64" s="46" t="s">
        <v>105</v>
      </c>
      <c r="C64" s="46"/>
      <c r="D64" s="46"/>
      <c r="E64" s="46"/>
      <c r="F64" s="46"/>
      <c r="G64" s="46"/>
      <c r="H64" s="46"/>
      <c r="I64" s="46"/>
      <c r="J64" s="46"/>
      <c r="K64" s="46"/>
      <c r="L64" s="47"/>
      <c r="M64" s="92"/>
    </row>
    <row r="65" spans="1:13" s="53" customFormat="1" ht="14.4" x14ac:dyDescent="0.3">
      <c r="A65" s="23" t="s">
        <v>106</v>
      </c>
      <c r="B65" s="23" t="s">
        <v>107</v>
      </c>
      <c r="C65" s="55" t="s">
        <v>52</v>
      </c>
      <c r="D65" s="148" t="s">
        <v>94</v>
      </c>
      <c r="E65" s="153"/>
      <c r="F65" s="153"/>
      <c r="G65" s="153"/>
      <c r="H65" s="153"/>
      <c r="I65" s="153"/>
      <c r="J65" s="153"/>
      <c r="K65" s="153"/>
      <c r="L65" s="154"/>
      <c r="M65" s="92"/>
    </row>
    <row r="66" spans="1:13" s="53" customFormat="1" ht="14.4" x14ac:dyDescent="0.3">
      <c r="A66" s="23" t="s">
        <v>108</v>
      </c>
      <c r="B66" s="23" t="s">
        <v>109</v>
      </c>
      <c r="C66" s="55" t="s">
        <v>52</v>
      </c>
      <c r="D66" s="148" t="s">
        <v>94</v>
      </c>
      <c r="E66" s="153"/>
      <c r="F66" s="153"/>
      <c r="G66" s="153"/>
      <c r="H66" s="153"/>
      <c r="I66" s="153"/>
      <c r="J66" s="153"/>
      <c r="K66" s="153"/>
      <c r="L66" s="154"/>
      <c r="M66" s="92"/>
    </row>
    <row r="67" spans="1:13" s="53" customFormat="1" ht="14.4" x14ac:dyDescent="0.3">
      <c r="A67" s="23" t="s">
        <v>110</v>
      </c>
      <c r="B67" s="23" t="s">
        <v>111</v>
      </c>
      <c r="C67" s="55" t="s">
        <v>52</v>
      </c>
      <c r="D67" s="148" t="s">
        <v>94</v>
      </c>
      <c r="E67" s="153"/>
      <c r="F67" s="153"/>
      <c r="G67" s="153"/>
      <c r="H67" s="153"/>
      <c r="I67" s="153"/>
      <c r="J67" s="153"/>
      <c r="K67" s="153"/>
      <c r="L67" s="154"/>
      <c r="M67" s="92"/>
    </row>
    <row r="68" spans="1:13" s="53" customFormat="1" ht="14.4" x14ac:dyDescent="0.3">
      <c r="A68" s="23" t="s">
        <v>112</v>
      </c>
      <c r="B68" s="23" t="s">
        <v>113</v>
      </c>
      <c r="C68" s="64"/>
      <c r="D68" s="148" t="s">
        <v>94</v>
      </c>
      <c r="E68" s="153"/>
      <c r="F68" s="153"/>
      <c r="G68" s="153"/>
      <c r="H68" s="153"/>
      <c r="I68" s="153"/>
      <c r="J68" s="153"/>
      <c r="K68" s="153"/>
      <c r="L68" s="154"/>
      <c r="M68" s="92"/>
    </row>
    <row r="69" spans="1:13" s="53" customFormat="1" ht="14.4" x14ac:dyDescent="0.3">
      <c r="A69" s="23"/>
      <c r="B69" s="23"/>
      <c r="C69" s="41"/>
      <c r="D69" s="148"/>
      <c r="E69" s="153"/>
      <c r="F69" s="153"/>
      <c r="G69" s="153"/>
      <c r="H69" s="153"/>
      <c r="I69" s="153"/>
      <c r="J69" s="153"/>
      <c r="K69" s="153"/>
      <c r="L69" s="154"/>
      <c r="M69" s="92"/>
    </row>
    <row r="70" spans="1:13" s="53" customFormat="1" ht="15.6" x14ac:dyDescent="0.3">
      <c r="A70" s="98" t="s">
        <v>114</v>
      </c>
      <c r="B70" s="98"/>
      <c r="C70" s="98"/>
      <c r="D70" s="98"/>
      <c r="E70" s="98"/>
      <c r="F70" s="98"/>
      <c r="G70" s="98"/>
      <c r="H70" s="98"/>
      <c r="I70" s="98"/>
      <c r="J70" s="98"/>
      <c r="K70" s="98"/>
      <c r="L70" s="98"/>
      <c r="M70" s="92"/>
    </row>
    <row r="71" spans="1:13" s="53" customFormat="1" ht="40.950000000000003" customHeight="1" x14ac:dyDescent="0.3">
      <c r="A71" s="56" t="s">
        <v>115</v>
      </c>
      <c r="B71" s="157"/>
      <c r="C71" s="157"/>
      <c r="D71" s="157"/>
      <c r="E71" s="157"/>
      <c r="F71" s="157"/>
      <c r="G71" s="157"/>
      <c r="H71" s="157"/>
      <c r="I71" s="157"/>
      <c r="J71" s="157"/>
      <c r="K71" s="157"/>
      <c r="L71" s="157"/>
      <c r="M71" s="92"/>
    </row>
    <row r="72" spans="1:13" s="53" customFormat="1" ht="15" customHeight="1" x14ac:dyDescent="0.3">
      <c r="A72" s="57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92"/>
    </row>
    <row r="73" spans="1:13" s="51" customFormat="1" ht="34.5" customHeight="1" x14ac:dyDescent="0.3">
      <c r="A73" s="98" t="s">
        <v>116</v>
      </c>
      <c r="B73" s="98"/>
      <c r="C73" s="98"/>
      <c r="D73" s="98"/>
      <c r="E73" s="98"/>
      <c r="F73" s="98"/>
      <c r="G73" s="98"/>
      <c r="H73" s="98"/>
      <c r="I73" s="98"/>
      <c r="J73" s="98"/>
      <c r="K73" s="98"/>
      <c r="L73" s="98"/>
      <c r="M73" s="92"/>
    </row>
    <row r="74" spans="1:13" s="53" customFormat="1" ht="40.950000000000003" customHeight="1" x14ac:dyDescent="0.3">
      <c r="A74" s="56" t="s">
        <v>117</v>
      </c>
      <c r="B74" s="157"/>
      <c r="C74" s="157"/>
      <c r="D74" s="157"/>
      <c r="E74" s="157"/>
      <c r="F74" s="157"/>
      <c r="G74" s="157"/>
      <c r="H74" s="157"/>
      <c r="I74" s="157"/>
      <c r="J74" s="157"/>
      <c r="K74" s="157"/>
      <c r="L74" s="157"/>
      <c r="M74" s="92"/>
    </row>
    <row r="75" spans="1:13" s="53" customFormat="1" x14ac:dyDescent="0.3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28"/>
    </row>
    <row r="76" spans="1:13" s="51" customFormat="1" ht="15.6" x14ac:dyDescent="0.3">
      <c r="A76" s="98" t="s">
        <v>118</v>
      </c>
      <c r="B76" s="98"/>
      <c r="C76" s="98"/>
      <c r="D76" s="98"/>
      <c r="E76" s="98"/>
      <c r="F76" s="98"/>
      <c r="G76" s="98"/>
      <c r="H76" s="98"/>
      <c r="I76" s="98"/>
      <c r="J76" s="98"/>
      <c r="K76" s="98"/>
      <c r="L76" s="98"/>
      <c r="M76" s="28"/>
    </row>
    <row r="77" spans="1:13" s="53" customFormat="1" ht="57.75" customHeight="1" x14ac:dyDescent="0.3">
      <c r="A77" s="56" t="s">
        <v>119</v>
      </c>
      <c r="B77" s="156"/>
      <c r="C77" s="156"/>
      <c r="D77" s="156"/>
      <c r="E77" s="156"/>
      <c r="F77" s="156"/>
      <c r="G77" s="156"/>
      <c r="H77" s="156"/>
      <c r="I77" s="156"/>
      <c r="J77" s="156"/>
      <c r="K77" s="156"/>
      <c r="L77" s="156"/>
      <c r="M77" s="28"/>
    </row>
    <row r="78" spans="1:13" s="53" customFormat="1" x14ac:dyDescent="0.3">
      <c r="A78" s="159"/>
      <c r="B78" s="159"/>
      <c r="C78" s="159"/>
      <c r="D78" s="159"/>
      <c r="E78" s="159"/>
      <c r="F78" s="159"/>
      <c r="G78" s="159"/>
      <c r="H78" s="159"/>
      <c r="I78" s="159"/>
      <c r="J78" s="159"/>
      <c r="K78" s="159"/>
      <c r="L78" s="159"/>
      <c r="M78" s="159"/>
    </row>
    <row r="79" spans="1:13" s="53" customFormat="1" ht="15.6" x14ac:dyDescent="0.3">
      <c r="A79" s="98" t="s">
        <v>120</v>
      </c>
      <c r="B79" s="98"/>
      <c r="C79" s="98"/>
      <c r="D79" s="98"/>
      <c r="E79" s="98"/>
      <c r="F79" s="98"/>
      <c r="G79" s="98"/>
      <c r="H79" s="98"/>
      <c r="I79" s="98"/>
      <c r="J79" s="98"/>
      <c r="K79" s="98"/>
      <c r="L79" s="98"/>
    </row>
    <row r="80" spans="1:13" s="53" customFormat="1" ht="79.5" customHeight="1" x14ac:dyDescent="0.3">
      <c r="A80" s="56" t="s">
        <v>121</v>
      </c>
      <c r="B80" s="156"/>
      <c r="C80" s="156"/>
      <c r="D80" s="156"/>
      <c r="E80" s="156"/>
      <c r="F80" s="156"/>
      <c r="G80" s="156"/>
      <c r="H80" s="156"/>
      <c r="I80" s="156"/>
      <c r="J80" s="156"/>
      <c r="K80" s="156"/>
      <c r="L80" s="156"/>
    </row>
    <row r="81" spans="1:3" s="53" customFormat="1" x14ac:dyDescent="0.3">
      <c r="A81" s="58"/>
      <c r="C81" s="58"/>
    </row>
    <row r="82" spans="1:3" s="53" customFormat="1" x14ac:dyDescent="0.3">
      <c r="A82" s="58"/>
      <c r="C82" s="58"/>
    </row>
    <row r="83" spans="1:3" s="53" customFormat="1" x14ac:dyDescent="0.3">
      <c r="A83" s="58"/>
      <c r="C83" s="58"/>
    </row>
    <row r="84" spans="1:3" s="53" customFormat="1" x14ac:dyDescent="0.3">
      <c r="A84" s="58"/>
      <c r="C84" s="58"/>
    </row>
    <row r="85" spans="1:3" s="53" customFormat="1" x14ac:dyDescent="0.3">
      <c r="A85" s="58"/>
      <c r="B85" s="53" t="s">
        <v>118</v>
      </c>
      <c r="C85" s="58"/>
    </row>
    <row r="86" spans="1:3" s="53" customFormat="1" x14ac:dyDescent="0.3">
      <c r="A86" s="58"/>
      <c r="C86" s="58"/>
    </row>
    <row r="87" spans="1:3" s="53" customFormat="1" x14ac:dyDescent="0.3">
      <c r="A87" s="58"/>
      <c r="C87" s="58"/>
    </row>
    <row r="88" spans="1:3" s="53" customFormat="1" x14ac:dyDescent="0.3">
      <c r="A88" s="58"/>
      <c r="C88" s="58"/>
    </row>
    <row r="89" spans="1:3" s="53" customFormat="1" x14ac:dyDescent="0.3">
      <c r="A89" s="58"/>
      <c r="C89" s="58"/>
    </row>
    <row r="90" spans="1:3" s="53" customFormat="1" x14ac:dyDescent="0.3">
      <c r="A90" s="58"/>
      <c r="C90" s="58"/>
    </row>
    <row r="91" spans="1:3" s="53" customFormat="1" x14ac:dyDescent="0.3">
      <c r="A91" s="58"/>
      <c r="C91" s="58"/>
    </row>
    <row r="92" spans="1:3" s="53" customFormat="1" x14ac:dyDescent="0.3">
      <c r="A92" s="58"/>
      <c r="C92" s="58"/>
    </row>
    <row r="93" spans="1:3" s="53" customFormat="1" x14ac:dyDescent="0.3">
      <c r="A93" s="58"/>
      <c r="C93" s="58"/>
    </row>
    <row r="94" spans="1:3" s="53" customFormat="1" x14ac:dyDescent="0.3">
      <c r="A94" s="58"/>
      <c r="C94" s="58"/>
    </row>
    <row r="95" spans="1:3" s="53" customFormat="1" x14ac:dyDescent="0.3">
      <c r="A95" s="58"/>
      <c r="C95" s="58"/>
    </row>
    <row r="96" spans="1:3" s="53" customFormat="1" x14ac:dyDescent="0.3">
      <c r="A96" s="58"/>
      <c r="C96" s="58"/>
    </row>
    <row r="97" spans="1:3" s="53" customFormat="1" x14ac:dyDescent="0.3">
      <c r="A97" s="58"/>
      <c r="C97" s="58"/>
    </row>
    <row r="98" spans="1:3" s="53" customFormat="1" x14ac:dyDescent="0.3">
      <c r="A98" s="58"/>
      <c r="C98" s="58"/>
    </row>
    <row r="99" spans="1:3" s="53" customFormat="1" x14ac:dyDescent="0.3">
      <c r="A99" s="58"/>
      <c r="C99" s="58"/>
    </row>
    <row r="100" spans="1:3" s="53" customFormat="1" x14ac:dyDescent="0.3">
      <c r="A100" s="58"/>
      <c r="C100" s="58"/>
    </row>
    <row r="101" spans="1:3" s="53" customFormat="1" x14ac:dyDescent="0.3">
      <c r="A101" s="58"/>
      <c r="C101" s="58"/>
    </row>
    <row r="102" spans="1:3" s="53" customFormat="1" x14ac:dyDescent="0.3">
      <c r="A102" s="58"/>
      <c r="C102" s="58"/>
    </row>
    <row r="103" spans="1:3" s="53" customFormat="1" x14ac:dyDescent="0.3">
      <c r="A103" s="58"/>
      <c r="C103" s="58"/>
    </row>
    <row r="104" spans="1:3" s="53" customFormat="1" x14ac:dyDescent="0.3">
      <c r="A104" s="58"/>
      <c r="C104" s="58"/>
    </row>
    <row r="105" spans="1:3" s="53" customFormat="1" x14ac:dyDescent="0.3">
      <c r="A105" s="58"/>
      <c r="C105" s="58"/>
    </row>
    <row r="106" spans="1:3" s="53" customFormat="1" x14ac:dyDescent="0.3">
      <c r="A106" s="58"/>
      <c r="C106" s="58"/>
    </row>
    <row r="107" spans="1:3" s="53" customFormat="1" x14ac:dyDescent="0.3">
      <c r="A107" s="58"/>
      <c r="C107" s="58"/>
    </row>
    <row r="108" spans="1:3" s="53" customFormat="1" x14ac:dyDescent="0.3">
      <c r="A108" s="58"/>
      <c r="C108" s="58"/>
    </row>
    <row r="109" spans="1:3" s="53" customFormat="1" x14ac:dyDescent="0.3">
      <c r="A109" s="58"/>
      <c r="C109" s="58"/>
    </row>
    <row r="110" spans="1:3" s="53" customFormat="1" x14ac:dyDescent="0.3">
      <c r="A110" s="58"/>
      <c r="C110" s="58"/>
    </row>
    <row r="111" spans="1:3" s="53" customFormat="1" x14ac:dyDescent="0.3">
      <c r="A111" s="58"/>
    </row>
    <row r="112" spans="1:3" s="53" customFormat="1" x14ac:dyDescent="0.3">
      <c r="A112" s="58"/>
    </row>
    <row r="113" spans="1:1" s="53" customFormat="1" x14ac:dyDescent="0.3">
      <c r="A113" s="58"/>
    </row>
    <row r="114" spans="1:1" s="53" customFormat="1" x14ac:dyDescent="0.3">
      <c r="A114" s="58"/>
    </row>
    <row r="115" spans="1:1" s="53" customFormat="1" x14ac:dyDescent="0.3">
      <c r="A115" s="58"/>
    </row>
    <row r="116" spans="1:1" s="53" customFormat="1" x14ac:dyDescent="0.3">
      <c r="A116" s="58"/>
    </row>
    <row r="117" spans="1:1" s="53" customFormat="1" x14ac:dyDescent="0.3">
      <c r="A117" s="58"/>
    </row>
    <row r="118" spans="1:1" s="53" customFormat="1" x14ac:dyDescent="0.3">
      <c r="A118" s="58"/>
    </row>
    <row r="119" spans="1:1" s="53" customFormat="1" x14ac:dyDescent="0.3">
      <c r="A119" s="58"/>
    </row>
    <row r="120" spans="1:1" s="53" customFormat="1" x14ac:dyDescent="0.3">
      <c r="A120" s="58"/>
    </row>
    <row r="121" spans="1:1" s="53" customFormat="1" x14ac:dyDescent="0.3">
      <c r="A121" s="58"/>
    </row>
    <row r="122" spans="1:1" s="53" customFormat="1" x14ac:dyDescent="0.3">
      <c r="A122" s="58"/>
    </row>
    <row r="123" spans="1:1" s="53" customFormat="1" x14ac:dyDescent="0.3">
      <c r="A123" s="58"/>
    </row>
    <row r="124" spans="1:1" s="53" customFormat="1" x14ac:dyDescent="0.3">
      <c r="A124" s="58"/>
    </row>
    <row r="125" spans="1:1" s="53" customFormat="1" x14ac:dyDescent="0.3">
      <c r="A125" s="58"/>
    </row>
    <row r="126" spans="1:1" s="53" customFormat="1" x14ac:dyDescent="0.3">
      <c r="A126" s="58"/>
    </row>
    <row r="127" spans="1:1" s="53" customFormat="1" x14ac:dyDescent="0.3">
      <c r="A127" s="58"/>
    </row>
    <row r="128" spans="1:1" s="53" customFormat="1" x14ac:dyDescent="0.3">
      <c r="A128" s="58"/>
    </row>
    <row r="129" spans="1:1" s="53" customFormat="1" x14ac:dyDescent="0.3">
      <c r="A129" s="58"/>
    </row>
    <row r="130" spans="1:1" s="53" customFormat="1" x14ac:dyDescent="0.3">
      <c r="A130" s="58"/>
    </row>
    <row r="131" spans="1:1" s="53" customFormat="1" x14ac:dyDescent="0.3">
      <c r="A131" s="58"/>
    </row>
    <row r="132" spans="1:1" s="53" customFormat="1" x14ac:dyDescent="0.3">
      <c r="A132" s="58"/>
    </row>
    <row r="133" spans="1:1" s="53" customFormat="1" x14ac:dyDescent="0.3">
      <c r="A133" s="58"/>
    </row>
    <row r="134" spans="1:1" s="53" customFormat="1" x14ac:dyDescent="0.3">
      <c r="A134" s="58"/>
    </row>
    <row r="135" spans="1:1" s="53" customFormat="1" x14ac:dyDescent="0.3">
      <c r="A135" s="58"/>
    </row>
    <row r="136" spans="1:1" s="53" customFormat="1" x14ac:dyDescent="0.3">
      <c r="A136" s="58"/>
    </row>
    <row r="137" spans="1:1" s="53" customFormat="1" x14ac:dyDescent="0.3">
      <c r="A137" s="58"/>
    </row>
    <row r="138" spans="1:1" s="53" customFormat="1" x14ac:dyDescent="0.3">
      <c r="A138" s="58"/>
    </row>
    <row r="139" spans="1:1" s="53" customFormat="1" x14ac:dyDescent="0.3">
      <c r="A139" s="58"/>
    </row>
    <row r="140" spans="1:1" s="53" customFormat="1" x14ac:dyDescent="0.3">
      <c r="A140" s="58"/>
    </row>
    <row r="141" spans="1:1" s="53" customFormat="1" x14ac:dyDescent="0.3">
      <c r="A141" s="58"/>
    </row>
    <row r="142" spans="1:1" s="53" customFormat="1" x14ac:dyDescent="0.3">
      <c r="A142" s="58"/>
    </row>
    <row r="143" spans="1:1" s="53" customFormat="1" x14ac:dyDescent="0.3">
      <c r="A143" s="58"/>
    </row>
    <row r="144" spans="1:1" s="53" customFormat="1" x14ac:dyDescent="0.3">
      <c r="A144" s="58"/>
    </row>
    <row r="145" spans="1:1" s="53" customFormat="1" x14ac:dyDescent="0.3">
      <c r="A145" s="58"/>
    </row>
    <row r="146" spans="1:1" s="53" customFormat="1" x14ac:dyDescent="0.3">
      <c r="A146" s="58"/>
    </row>
    <row r="147" spans="1:1" s="53" customFormat="1" x14ac:dyDescent="0.3">
      <c r="A147" s="58"/>
    </row>
    <row r="148" spans="1:1" s="53" customFormat="1" x14ac:dyDescent="0.3">
      <c r="A148" s="58"/>
    </row>
    <row r="149" spans="1:1" s="53" customFormat="1" x14ac:dyDescent="0.3">
      <c r="A149" s="58"/>
    </row>
    <row r="150" spans="1:1" s="53" customFormat="1" x14ac:dyDescent="0.3">
      <c r="A150" s="58"/>
    </row>
    <row r="151" spans="1:1" s="53" customFormat="1" x14ac:dyDescent="0.3">
      <c r="A151" s="58"/>
    </row>
    <row r="152" spans="1:1" s="53" customFormat="1" x14ac:dyDescent="0.3">
      <c r="A152" s="58"/>
    </row>
    <row r="153" spans="1:1" s="53" customFormat="1" x14ac:dyDescent="0.3">
      <c r="A153" s="58"/>
    </row>
    <row r="154" spans="1:1" s="53" customFormat="1" x14ac:dyDescent="0.3">
      <c r="A154" s="58"/>
    </row>
    <row r="155" spans="1:1" s="53" customFormat="1" x14ac:dyDescent="0.3">
      <c r="A155" s="58"/>
    </row>
    <row r="156" spans="1:1" s="53" customFormat="1" x14ac:dyDescent="0.3">
      <c r="A156" s="58"/>
    </row>
    <row r="157" spans="1:1" s="53" customFormat="1" x14ac:dyDescent="0.3">
      <c r="A157" s="58"/>
    </row>
    <row r="158" spans="1:1" s="53" customFormat="1" x14ac:dyDescent="0.3">
      <c r="A158" s="58"/>
    </row>
    <row r="159" spans="1:1" s="53" customFormat="1" x14ac:dyDescent="0.3">
      <c r="A159" s="58"/>
    </row>
    <row r="160" spans="1:1" s="53" customFormat="1" x14ac:dyDescent="0.3">
      <c r="A160" s="58"/>
    </row>
    <row r="164" spans="3:3" x14ac:dyDescent="0.3">
      <c r="C164" s="51"/>
    </row>
    <row r="165" spans="3:3" x14ac:dyDescent="0.3">
      <c r="C165" s="53" t="s">
        <v>122</v>
      </c>
    </row>
    <row r="166" spans="3:3" x14ac:dyDescent="0.3">
      <c r="C166" s="53" t="s">
        <v>123</v>
      </c>
    </row>
    <row r="167" spans="3:3" x14ac:dyDescent="0.3">
      <c r="C167" s="53" t="s">
        <v>124</v>
      </c>
    </row>
    <row r="168" spans="3:3" x14ac:dyDescent="0.3">
      <c r="C168" s="53" t="s">
        <v>125</v>
      </c>
    </row>
    <row r="169" spans="3:3" x14ac:dyDescent="0.3">
      <c r="C169" s="53" t="s">
        <v>126</v>
      </c>
    </row>
    <row r="170" spans="3:3" x14ac:dyDescent="0.3">
      <c r="C170" s="53" t="s">
        <v>127</v>
      </c>
    </row>
    <row r="171" spans="3:3" x14ac:dyDescent="0.3">
      <c r="C171" s="53" t="s">
        <v>128</v>
      </c>
    </row>
    <row r="172" spans="3:3" x14ac:dyDescent="0.3">
      <c r="C172" s="53" t="s">
        <v>129</v>
      </c>
    </row>
    <row r="173" spans="3:3" x14ac:dyDescent="0.3">
      <c r="C173" s="53" t="s">
        <v>130</v>
      </c>
    </row>
    <row r="174" spans="3:3" x14ac:dyDescent="0.3">
      <c r="C174" s="53" t="s">
        <v>131</v>
      </c>
    </row>
    <row r="175" spans="3:3" x14ac:dyDescent="0.3">
      <c r="C175" s="53" t="s">
        <v>132</v>
      </c>
    </row>
    <row r="176" spans="3:3" x14ac:dyDescent="0.3">
      <c r="C176" s="53" t="s">
        <v>133</v>
      </c>
    </row>
    <row r="177" spans="3:3" x14ac:dyDescent="0.3">
      <c r="C177" s="53" t="s">
        <v>134</v>
      </c>
    </row>
    <row r="178" spans="3:3" ht="14.4" x14ac:dyDescent="0.3">
      <c r="C178" s="60" t="s">
        <v>135</v>
      </c>
    </row>
    <row r="179" spans="3:3" ht="14.4" x14ac:dyDescent="0.3">
      <c r="C179" s="60" t="s">
        <v>136</v>
      </c>
    </row>
    <row r="180" spans="3:3" ht="14.4" x14ac:dyDescent="0.3">
      <c r="C180" s="60" t="s">
        <v>137</v>
      </c>
    </row>
    <row r="181" spans="3:3" ht="14.4" x14ac:dyDescent="0.3">
      <c r="C181" s="60" t="s">
        <v>138</v>
      </c>
    </row>
    <row r="182" spans="3:3" x14ac:dyDescent="0.3">
      <c r="C182" s="53" t="s">
        <v>139</v>
      </c>
    </row>
    <row r="183" spans="3:3" x14ac:dyDescent="0.3">
      <c r="C183" s="53" t="s">
        <v>140</v>
      </c>
    </row>
    <row r="184" spans="3:3" x14ac:dyDescent="0.3">
      <c r="C184" s="53" t="s">
        <v>141</v>
      </c>
    </row>
    <row r="185" spans="3:3" x14ac:dyDescent="0.3">
      <c r="C185" s="53" t="s">
        <v>142</v>
      </c>
    </row>
    <row r="186" spans="3:3" x14ac:dyDescent="0.3">
      <c r="C186" s="53" t="s">
        <v>143</v>
      </c>
    </row>
    <row r="187" spans="3:3" x14ac:dyDescent="0.3">
      <c r="C187" s="53" t="s">
        <v>144</v>
      </c>
    </row>
    <row r="188" spans="3:3" x14ac:dyDescent="0.3">
      <c r="C188" s="53" t="s">
        <v>145</v>
      </c>
    </row>
    <row r="193" spans="2:2" x14ac:dyDescent="0.3">
      <c r="B193" s="51"/>
    </row>
    <row r="194" spans="2:2" x14ac:dyDescent="0.3">
      <c r="B194" s="51"/>
    </row>
    <row r="195" spans="2:2" x14ac:dyDescent="0.3">
      <c r="B195" s="51"/>
    </row>
    <row r="196" spans="2:2" x14ac:dyDescent="0.3">
      <c r="B196" s="51"/>
    </row>
    <row r="197" spans="2:2" x14ac:dyDescent="0.3">
      <c r="B197" s="51"/>
    </row>
    <row r="198" spans="2:2" x14ac:dyDescent="0.3">
      <c r="B198" s="51"/>
    </row>
    <row r="199" spans="2:2" x14ac:dyDescent="0.3">
      <c r="B199" s="51"/>
    </row>
    <row r="200" spans="2:2" x14ac:dyDescent="0.3">
      <c r="B200" s="51"/>
    </row>
    <row r="201" spans="2:2" x14ac:dyDescent="0.3">
      <c r="B201" s="51"/>
    </row>
    <row r="202" spans="2:2" ht="14.4" x14ac:dyDescent="0.3">
      <c r="B202" s="61"/>
    </row>
    <row r="203" spans="2:2" ht="14.4" x14ac:dyDescent="0.3">
      <c r="B203" s="61"/>
    </row>
    <row r="204" spans="2:2" ht="14.4" x14ac:dyDescent="0.3">
      <c r="B204" s="61"/>
    </row>
    <row r="205" spans="2:2" ht="14.4" x14ac:dyDescent="0.3">
      <c r="B205" s="61"/>
    </row>
    <row r="206" spans="2:2" ht="14.4" x14ac:dyDescent="0.3">
      <c r="B206" s="61"/>
    </row>
    <row r="207" spans="2:2" ht="14.4" x14ac:dyDescent="0.3">
      <c r="B207" s="61"/>
    </row>
    <row r="208" spans="2:2" ht="14.4" x14ac:dyDescent="0.3">
      <c r="B208" s="61"/>
    </row>
    <row r="209" spans="2:2" ht="14.4" x14ac:dyDescent="0.3">
      <c r="B209" s="61"/>
    </row>
    <row r="210" spans="2:2" ht="14.4" x14ac:dyDescent="0.3">
      <c r="B210" s="61"/>
    </row>
    <row r="211" spans="2:2" ht="14.4" x14ac:dyDescent="0.3">
      <c r="B211" s="61"/>
    </row>
    <row r="212" spans="2:2" ht="14.4" x14ac:dyDescent="0.3">
      <c r="B212" s="61"/>
    </row>
    <row r="213" spans="2:2" ht="14.4" x14ac:dyDescent="0.3">
      <c r="B213" s="61"/>
    </row>
    <row r="214" spans="2:2" ht="14.4" x14ac:dyDescent="0.3">
      <c r="B214" s="61"/>
    </row>
    <row r="215" spans="2:2" ht="14.4" x14ac:dyDescent="0.3">
      <c r="B215" s="61"/>
    </row>
    <row r="216" spans="2:2" ht="14.4" x14ac:dyDescent="0.3">
      <c r="B216" s="61"/>
    </row>
    <row r="217" spans="2:2" ht="14.4" x14ac:dyDescent="0.3">
      <c r="B217" s="61"/>
    </row>
    <row r="218" spans="2:2" ht="14.4" x14ac:dyDescent="0.3">
      <c r="B218" s="61"/>
    </row>
    <row r="219" spans="2:2" ht="14.4" x14ac:dyDescent="0.3">
      <c r="B219" s="61"/>
    </row>
    <row r="220" spans="2:2" ht="14.4" x14ac:dyDescent="0.3">
      <c r="B220" s="61"/>
    </row>
    <row r="221" spans="2:2" ht="14.4" x14ac:dyDescent="0.3">
      <c r="B221" s="61"/>
    </row>
    <row r="222" spans="2:2" ht="14.4" x14ac:dyDescent="0.3">
      <c r="B222" s="61"/>
    </row>
    <row r="223" spans="2:2" ht="14.4" x14ac:dyDescent="0.3">
      <c r="B223" s="61"/>
    </row>
    <row r="224" spans="2:2" ht="14.4" x14ac:dyDescent="0.3">
      <c r="B224" s="61"/>
    </row>
    <row r="225" spans="2:2" ht="14.4" x14ac:dyDescent="0.3">
      <c r="B225" s="61"/>
    </row>
    <row r="226" spans="2:2" x14ac:dyDescent="0.3">
      <c r="B226" s="51"/>
    </row>
    <row r="227" spans="2:2" x14ac:dyDescent="0.3">
      <c r="B227" s="51"/>
    </row>
    <row r="228" spans="2:2" x14ac:dyDescent="0.3">
      <c r="B228" s="51"/>
    </row>
    <row r="229" spans="2:2" x14ac:dyDescent="0.3">
      <c r="B229" s="51"/>
    </row>
    <row r="230" spans="2:2" x14ac:dyDescent="0.3">
      <c r="B230" s="51"/>
    </row>
    <row r="231" spans="2:2" x14ac:dyDescent="0.3">
      <c r="B231" s="51"/>
    </row>
    <row r="232" spans="2:2" x14ac:dyDescent="0.3">
      <c r="B232" s="51"/>
    </row>
    <row r="233" spans="2:2" x14ac:dyDescent="0.3">
      <c r="B233" s="51"/>
    </row>
    <row r="234" spans="2:2" x14ac:dyDescent="0.3">
      <c r="B234" s="51"/>
    </row>
    <row r="235" spans="2:2" x14ac:dyDescent="0.3">
      <c r="B235" s="51"/>
    </row>
    <row r="236" spans="2:2" x14ac:dyDescent="0.3">
      <c r="B236" s="51"/>
    </row>
    <row r="237" spans="2:2" x14ac:dyDescent="0.3">
      <c r="B237" s="51"/>
    </row>
    <row r="238" spans="2:2" x14ac:dyDescent="0.3">
      <c r="B238" s="51"/>
    </row>
    <row r="239" spans="2:2" x14ac:dyDescent="0.3">
      <c r="B239" s="51"/>
    </row>
    <row r="240" spans="2:2" x14ac:dyDescent="0.3">
      <c r="B240" s="51"/>
    </row>
    <row r="241" spans="2:2" x14ac:dyDescent="0.3">
      <c r="B241" s="51"/>
    </row>
  </sheetData>
  <sheetProtection formatRows="0"/>
  <dataConsolidate/>
  <mergeCells count="80">
    <mergeCell ref="B80:L80"/>
    <mergeCell ref="D68:L68"/>
    <mergeCell ref="D69:L69"/>
    <mergeCell ref="A70:L70"/>
    <mergeCell ref="B71:L71"/>
    <mergeCell ref="A73:L73"/>
    <mergeCell ref="B74:L74"/>
    <mergeCell ref="A75:L75"/>
    <mergeCell ref="A76:L76"/>
    <mergeCell ref="B77:L77"/>
    <mergeCell ref="A78:M78"/>
    <mergeCell ref="A79:L79"/>
    <mergeCell ref="D67:L67"/>
    <mergeCell ref="C53:L53"/>
    <mergeCell ref="A55:L55"/>
    <mergeCell ref="A56:L56"/>
    <mergeCell ref="D58:L58"/>
    <mergeCell ref="D60:L60"/>
    <mergeCell ref="D61:L61"/>
    <mergeCell ref="D62:L62"/>
    <mergeCell ref="D63:L63"/>
    <mergeCell ref="D65:L65"/>
    <mergeCell ref="D66:L66"/>
    <mergeCell ref="D59:L59"/>
    <mergeCell ref="C47:E47"/>
    <mergeCell ref="F47:I47"/>
    <mergeCell ref="J47:L50"/>
    <mergeCell ref="C48:E48"/>
    <mergeCell ref="F48:I48"/>
    <mergeCell ref="C49:E49"/>
    <mergeCell ref="F49:I49"/>
    <mergeCell ref="C50:E50"/>
    <mergeCell ref="F50:I50"/>
    <mergeCell ref="A46:L46"/>
    <mergeCell ref="C33:E33"/>
    <mergeCell ref="F33:L33"/>
    <mergeCell ref="A35:L35"/>
    <mergeCell ref="A36:L36"/>
    <mergeCell ref="C37:L37"/>
    <mergeCell ref="C38:L38"/>
    <mergeCell ref="C39:L39"/>
    <mergeCell ref="C40:L40"/>
    <mergeCell ref="C41:L41"/>
    <mergeCell ref="C44:L44"/>
    <mergeCell ref="A45:L45"/>
    <mergeCell ref="C34:E34"/>
    <mergeCell ref="A28:L28"/>
    <mergeCell ref="A29:A32"/>
    <mergeCell ref="C29:L29"/>
    <mergeCell ref="C30:L30"/>
    <mergeCell ref="C31:L31"/>
    <mergeCell ref="C32:L32"/>
    <mergeCell ref="A27:L27"/>
    <mergeCell ref="D20:J20"/>
    <mergeCell ref="K20:L20"/>
    <mergeCell ref="D21:F21"/>
    <mergeCell ref="H21:J21"/>
    <mergeCell ref="K21:L21"/>
    <mergeCell ref="A22:L22"/>
    <mergeCell ref="A23:L23"/>
    <mergeCell ref="A24:A26"/>
    <mergeCell ref="C24:L24"/>
    <mergeCell ref="C25:L25"/>
    <mergeCell ref="C26:L26"/>
    <mergeCell ref="C19:L19"/>
    <mergeCell ref="M1:M74"/>
    <mergeCell ref="B4:L4"/>
    <mergeCell ref="A7:L7"/>
    <mergeCell ref="A8:L8"/>
    <mergeCell ref="A9:L9"/>
    <mergeCell ref="C10:L10"/>
    <mergeCell ref="C11:L11"/>
    <mergeCell ref="C12:L12"/>
    <mergeCell ref="C13:L13"/>
    <mergeCell ref="C14:L14"/>
    <mergeCell ref="A16:A17"/>
    <mergeCell ref="E16:F16"/>
    <mergeCell ref="E17:F17"/>
    <mergeCell ref="C18:H18"/>
    <mergeCell ref="I18:L18"/>
  </mergeCells>
  <conditionalFormatting sqref="C32">
    <cfRule type="containsText" dxfId="22" priority="5" operator="containsText" text="Lever het behandelvoorstel ExCo aan. U vindt het formulier op Focus of via de SharePoint Productieloket of SharePoint Kernproces.">
      <formula>NOT(ISERROR(SEARCH("Lever het behandelvoorstel ExCo aan. U vindt het formulier op Focus of via de SharePoint Productieloket of SharePoint Kernproces.",C32)))</formula>
    </cfRule>
    <cfRule type="containsText" dxfId="21" priority="6" operator="containsText" text="Ga verder naar de volgende vraag.">
      <formula>NOT(ISERROR(SEARCH("Ga verder naar de volgende vraag.",C32)))</formula>
    </cfRule>
  </conditionalFormatting>
  <conditionalFormatting sqref="F33:F34">
    <cfRule type="containsText" dxfId="20" priority="11" operator="containsText" text="Indiener regelt externe financiering voor startfase (externe startbeslissing) na interne startbeslissing.">
      <formula>NOT(ISERROR(SEARCH("Indiener regelt externe financiering voor startfase (externe startbeslissing) na interne startbeslissing.",F33)))</formula>
    </cfRule>
  </conditionalFormatting>
  <conditionalFormatting sqref="K21:L21">
    <cfRule type="cellIs" dxfId="19" priority="1" operator="greaterThan">
      <formula>45</formula>
    </cfRule>
    <cfRule type="cellIs" dxfId="18" priority="2" operator="between">
      <formula>36</formula>
      <formula>45</formula>
    </cfRule>
    <cfRule type="cellIs" dxfId="17" priority="3" operator="between">
      <formula>23</formula>
      <formula>35</formula>
    </cfRule>
    <cfRule type="cellIs" dxfId="16" priority="4" operator="lessThan">
      <formula>23</formula>
    </cfRule>
    <cfRule type="cellIs" dxfId="15" priority="7" operator="greaterThan">
      <formula>43</formula>
    </cfRule>
    <cfRule type="cellIs" dxfId="14" priority="8" operator="between">
      <formula>30</formula>
      <formula>43</formula>
    </cfRule>
    <cfRule type="cellIs" dxfId="13" priority="9" operator="between">
      <formula>17</formula>
      <formula>29</formula>
    </cfRule>
    <cfRule type="cellIs" dxfId="12" priority="10" operator="between">
      <formula>0</formula>
      <formula>16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8" scale="58" fitToHeight="0" orientation="portrait" r:id="rId1"/>
  <headerFooter>
    <oddFooter>&amp;C&amp;"-,Cursief"Pagina &amp;P van &amp;N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10989-FB1F-449E-B5B9-50CDBC78A781}">
  <dimension ref="A1:E11"/>
  <sheetViews>
    <sheetView tabSelected="1" workbookViewId="0">
      <selection activeCell="B20" sqref="B20"/>
    </sheetView>
  </sheetViews>
  <sheetFormatPr defaultRowHeight="13.8" x14ac:dyDescent="0.3"/>
  <cols>
    <col min="1" max="1" width="20.33203125" bestFit="1" customWidth="1"/>
    <col min="2" max="2" width="74.21875" bestFit="1" customWidth="1"/>
    <col min="3" max="3" width="10.44140625" bestFit="1" customWidth="1"/>
    <col min="5" max="5" width="9.109375" bestFit="1" customWidth="1"/>
  </cols>
  <sheetData>
    <row r="1" spans="1:5" x14ac:dyDescent="0.3">
      <c r="B1" t="s">
        <v>346</v>
      </c>
      <c r="C1" t="s">
        <v>347</v>
      </c>
      <c r="D1" t="s">
        <v>358</v>
      </c>
      <c r="E1" t="s">
        <v>359</v>
      </c>
    </row>
    <row r="2" spans="1:5" ht="15" x14ac:dyDescent="0.3">
      <c r="A2" s="72" t="s">
        <v>146</v>
      </c>
      <c r="B2" s="72" t="s">
        <v>147</v>
      </c>
      <c r="C2" s="73" t="s">
        <v>173</v>
      </c>
      <c r="D2" t="s">
        <v>8</v>
      </c>
      <c r="E2" s="17">
        <v>46106</v>
      </c>
    </row>
    <row r="3" spans="1:5" ht="15" x14ac:dyDescent="0.3">
      <c r="A3" s="74" t="s">
        <v>148</v>
      </c>
      <c r="B3" s="74" t="s">
        <v>149</v>
      </c>
      <c r="C3" s="75" t="s">
        <v>178</v>
      </c>
    </row>
    <row r="4" spans="1:5" ht="15" x14ac:dyDescent="0.3">
      <c r="A4" s="72" t="s">
        <v>360</v>
      </c>
      <c r="B4" s="72" t="s">
        <v>150</v>
      </c>
      <c r="C4" s="13" t="s">
        <v>181</v>
      </c>
    </row>
    <row r="5" spans="1:5" ht="15" x14ac:dyDescent="0.3">
      <c r="A5" s="74" t="s">
        <v>146</v>
      </c>
      <c r="B5" s="74" t="s">
        <v>151</v>
      </c>
      <c r="C5" s="14" t="s">
        <v>175</v>
      </c>
    </row>
    <row r="6" spans="1:5" ht="15" x14ac:dyDescent="0.3">
      <c r="A6" s="72" t="s">
        <v>146</v>
      </c>
      <c r="B6" s="72" t="s">
        <v>152</v>
      </c>
      <c r="C6" s="13" t="s">
        <v>173</v>
      </c>
      <c r="D6" t="s">
        <v>8</v>
      </c>
      <c r="E6" s="17">
        <v>46106</v>
      </c>
    </row>
    <row r="7" spans="1:5" ht="15" x14ac:dyDescent="0.3">
      <c r="A7" s="74" t="s">
        <v>146</v>
      </c>
      <c r="B7" s="74" t="s">
        <v>154</v>
      </c>
      <c r="C7" s="14" t="s">
        <v>173</v>
      </c>
      <c r="D7" t="s">
        <v>8</v>
      </c>
      <c r="E7" s="17">
        <v>46106</v>
      </c>
    </row>
    <row r="8" spans="1:5" ht="15" x14ac:dyDescent="0.3">
      <c r="A8" s="72" t="s">
        <v>156</v>
      </c>
      <c r="B8" s="72" t="s">
        <v>155</v>
      </c>
      <c r="C8" s="13" t="s">
        <v>178</v>
      </c>
    </row>
    <row r="9" spans="1:5" ht="15" x14ac:dyDescent="0.3">
      <c r="A9" s="74" t="s">
        <v>156</v>
      </c>
      <c r="B9" s="74" t="s">
        <v>157</v>
      </c>
      <c r="C9" s="14" t="s">
        <v>181</v>
      </c>
    </row>
    <row r="10" spans="1:5" ht="15" x14ac:dyDescent="0.3">
      <c r="A10" s="72" t="s">
        <v>148</v>
      </c>
      <c r="B10" s="72" t="s">
        <v>158</v>
      </c>
      <c r="C10" s="13" t="s">
        <v>173</v>
      </c>
      <c r="D10" t="s">
        <v>8</v>
      </c>
      <c r="E10" s="17">
        <v>46106</v>
      </c>
    </row>
    <row r="11" spans="1:5" ht="15" x14ac:dyDescent="0.3">
      <c r="A11" s="76" t="s">
        <v>160</v>
      </c>
      <c r="B11" s="76" t="s">
        <v>161</v>
      </c>
      <c r="C11" s="77" t="s">
        <v>173</v>
      </c>
      <c r="D11" t="s">
        <v>8</v>
      </c>
      <c r="E11" s="17">
        <v>46106</v>
      </c>
    </row>
  </sheetData>
  <conditionalFormatting sqref="C2:C11">
    <cfRule type="cellIs" dxfId="11" priority="1" operator="equal">
      <formula>"AANDACHT"</formula>
    </cfRule>
    <cfRule type="cellIs" dxfId="10" priority="2" operator="equal">
      <formula>"RISICO"</formula>
    </cfRule>
    <cfRule type="cellIs" dxfId="9" priority="3" operator="equal">
      <formula>"OK"</formula>
    </cfRule>
    <cfRule type="cellIs" dxfId="8" priority="4" operator="equal">
      <formula>"NIET OK"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AED3B26F-8844-46A7-A1C8-6FB16DFE9F0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A2:A11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0112D-0F2F-470C-A9DD-35CEB35B8CCC}">
  <sheetPr codeName="Blad1">
    <tabColor rgb="FF3494BA"/>
  </sheetPr>
  <dimension ref="A2:V119"/>
  <sheetViews>
    <sheetView showFormulas="1" topLeftCell="A35" zoomScale="50" zoomScaleNormal="50" workbookViewId="0">
      <selection activeCell="E42" sqref="E42"/>
    </sheetView>
  </sheetViews>
  <sheetFormatPr defaultRowHeight="12.75" customHeight="1" x14ac:dyDescent="0.3"/>
  <cols>
    <col min="2" max="2" width="26.33203125" customWidth="1"/>
    <col min="3" max="3" width="17.5546875" customWidth="1"/>
    <col min="4" max="4" width="13.44140625" customWidth="1"/>
    <col min="5" max="5" width="14.109375" customWidth="1"/>
    <col min="6" max="6" width="12.6640625" customWidth="1"/>
    <col min="7" max="7" width="21.88671875" customWidth="1"/>
    <col min="8" max="17" width="3.33203125" customWidth="1"/>
    <col min="18" max="18" width="8.33203125" customWidth="1"/>
    <col min="19" max="19" width="7.6640625" customWidth="1"/>
    <col min="20" max="20" width="12.44140625" customWidth="1"/>
    <col min="21" max="21" width="7.6640625" customWidth="1"/>
    <col min="22" max="22" width="21.6640625" customWidth="1"/>
  </cols>
  <sheetData>
    <row r="2" spans="1:22" ht="15" x14ac:dyDescent="0.3">
      <c r="A2" t="s">
        <v>171</v>
      </c>
      <c r="B2" s="1" t="s">
        <v>163</v>
      </c>
      <c r="C2" s="1" t="s">
        <v>172</v>
      </c>
      <c r="R2" t="s">
        <v>163</v>
      </c>
      <c r="T2" s="13" t="s">
        <v>173</v>
      </c>
    </row>
    <row r="3" spans="1:22" ht="15" x14ac:dyDescent="0.3">
      <c r="A3">
        <v>1</v>
      </c>
      <c r="B3" t="s">
        <v>164</v>
      </c>
      <c r="C3" t="s">
        <v>174</v>
      </c>
      <c r="R3" t="s">
        <v>165</v>
      </c>
      <c r="T3" s="14" t="s">
        <v>175</v>
      </c>
    </row>
    <row r="4" spans="1:22" ht="15" x14ac:dyDescent="0.3">
      <c r="A4">
        <v>2</v>
      </c>
      <c r="B4" t="s">
        <v>176</v>
      </c>
      <c r="C4" t="s">
        <v>177</v>
      </c>
      <c r="R4" t="s">
        <v>167</v>
      </c>
      <c r="T4" s="13" t="s">
        <v>178</v>
      </c>
    </row>
    <row r="5" spans="1:22" ht="15" x14ac:dyDescent="0.3">
      <c r="A5">
        <v>3</v>
      </c>
      <c r="B5" t="s">
        <v>179</v>
      </c>
      <c r="C5" t="s">
        <v>180</v>
      </c>
      <c r="R5" t="s">
        <v>169</v>
      </c>
      <c r="T5" s="14" t="s">
        <v>181</v>
      </c>
      <c r="V5" t="e" cm="1" vm="1">
        <f t="array" aca="1" ref="V5" ca="1">INDIRECT("SnM["&amp;T20&amp;"]")</f>
        <v>#VALUE!</v>
      </c>
    </row>
    <row r="6" spans="1:22" ht="13.8" x14ac:dyDescent="0.3">
      <c r="A6">
        <v>4</v>
      </c>
      <c r="B6" t="s">
        <v>182</v>
      </c>
      <c r="C6" t="s">
        <v>183</v>
      </c>
      <c r="T6" s="15" t="s">
        <v>184</v>
      </c>
    </row>
    <row r="7" spans="1:22" ht="13.8" x14ac:dyDescent="0.3">
      <c r="A7">
        <v>5</v>
      </c>
      <c r="B7" t="s">
        <v>185</v>
      </c>
      <c r="C7" t="s">
        <v>186</v>
      </c>
    </row>
    <row r="8" spans="1:22" ht="13.8" x14ac:dyDescent="0.3">
      <c r="A8">
        <v>6</v>
      </c>
      <c r="B8" t="s">
        <v>187</v>
      </c>
      <c r="C8" t="s">
        <v>188</v>
      </c>
    </row>
    <row r="9" spans="1:22" ht="13.8" x14ac:dyDescent="0.3">
      <c r="A9">
        <v>7</v>
      </c>
      <c r="B9" t="s">
        <v>189</v>
      </c>
      <c r="C9" t="s">
        <v>190</v>
      </c>
    </row>
    <row r="10" spans="1:22" ht="13.8" x14ac:dyDescent="0.3">
      <c r="A10">
        <v>8</v>
      </c>
      <c r="B10" t="s">
        <v>191</v>
      </c>
      <c r="C10" t="s">
        <v>192</v>
      </c>
    </row>
    <row r="12" spans="1:22" ht="13.8" x14ac:dyDescent="0.3">
      <c r="B12" s="2" t="s">
        <v>193</v>
      </c>
      <c r="C12" s="2" t="s">
        <v>193</v>
      </c>
      <c r="D12" t="s">
        <v>166</v>
      </c>
    </row>
    <row r="13" spans="1:22" ht="13.8" x14ac:dyDescent="0.3">
      <c r="D13" t="str">
        <f>VLOOKUP(D12,B3:C44,2,FALSE)</f>
        <v>Jasper Ingram</v>
      </c>
    </row>
    <row r="14" spans="1:22" ht="13.8" x14ac:dyDescent="0.3">
      <c r="A14" t="s">
        <v>194</v>
      </c>
      <c r="B14" s="1" t="s">
        <v>165</v>
      </c>
      <c r="C14" s="1" t="s">
        <v>195</v>
      </c>
    </row>
    <row r="15" spans="1:22" ht="13.8" x14ac:dyDescent="0.3">
      <c r="B15" t="s">
        <v>196</v>
      </c>
      <c r="C15" t="s">
        <v>197</v>
      </c>
    </row>
    <row r="16" spans="1:22" ht="13.8" x14ac:dyDescent="0.3">
      <c r="B16" t="s">
        <v>166</v>
      </c>
      <c r="C16" t="s">
        <v>198</v>
      </c>
    </row>
    <row r="17" spans="1:22" ht="13.8" x14ac:dyDescent="0.3">
      <c r="B17" t="s">
        <v>159</v>
      </c>
      <c r="C17" t="s">
        <v>199</v>
      </c>
    </row>
    <row r="18" spans="1:22" ht="13.8" x14ac:dyDescent="0.3">
      <c r="B18" t="s">
        <v>200</v>
      </c>
      <c r="C18" t="s">
        <v>198</v>
      </c>
    </row>
    <row r="19" spans="1:22" ht="13.8" x14ac:dyDescent="0.3">
      <c r="B19" t="s">
        <v>201</v>
      </c>
      <c r="C19" t="s">
        <v>202</v>
      </c>
    </row>
    <row r="20" spans="1:22" ht="13.8" x14ac:dyDescent="0.3">
      <c r="B20" t="s">
        <v>203</v>
      </c>
      <c r="C20" t="s">
        <v>204</v>
      </c>
      <c r="S20" t="s">
        <v>205</v>
      </c>
      <c r="T20" s="7" t="s">
        <v>163</v>
      </c>
    </row>
    <row r="21" spans="1:22" ht="13.8" x14ac:dyDescent="0.3">
      <c r="B21" t="s">
        <v>206</v>
      </c>
      <c r="C21" t="s">
        <v>207</v>
      </c>
      <c r="S21" t="s">
        <v>162</v>
      </c>
      <c r="T21" s="7" t="s">
        <v>164</v>
      </c>
    </row>
    <row r="22" spans="1:22" ht="13.8" x14ac:dyDescent="0.3">
      <c r="B22" t="s">
        <v>208</v>
      </c>
      <c r="C22" t="s">
        <v>209</v>
      </c>
    </row>
    <row r="23" spans="1:22" ht="13.8" x14ac:dyDescent="0.3">
      <c r="T23" t="str" cm="1">
        <f t="array" aca="1" ref="T23:T31" ca="1">INDIRECT("Deelvisies["&amp;T20&amp;"]")</f>
        <v>Ruimtelijke strategie</v>
      </c>
    </row>
    <row r="24" spans="1:22" ht="13.8" x14ac:dyDescent="0.3">
      <c r="B24" s="2" t="s">
        <v>210</v>
      </c>
      <c r="C24" s="2" t="s">
        <v>210</v>
      </c>
      <c r="T24" t="str">
        <f ca="1"/>
        <v>Binnenlandse reizigersvisie</v>
      </c>
    </row>
    <row r="25" spans="1:22" ht="13.8" x14ac:dyDescent="0.3">
      <c r="T25" t="str">
        <f ca="1"/>
        <v>Goederenvisie en -strategie</v>
      </c>
    </row>
    <row r="26" spans="1:22" ht="13.8" x14ac:dyDescent="0.3">
      <c r="A26" t="s">
        <v>194</v>
      </c>
      <c r="B26" s="1" t="s">
        <v>167</v>
      </c>
      <c r="C26" s="1" t="s">
        <v>211</v>
      </c>
      <c r="T26" t="str">
        <f ca="1"/>
        <v>Strategie internationaal</v>
      </c>
    </row>
    <row r="27" spans="1:22" ht="13.8" x14ac:dyDescent="0.3">
      <c r="A27">
        <v>1</v>
      </c>
      <c r="B27" t="s">
        <v>212</v>
      </c>
      <c r="C27" t="s">
        <v>213</v>
      </c>
      <c r="T27" t="str">
        <f ca="1"/>
        <v>Stationsvisie</v>
      </c>
    </row>
    <row r="28" spans="1:22" ht="13.8" x14ac:dyDescent="0.3">
      <c r="A28">
        <v>2</v>
      </c>
      <c r="B28" t="s">
        <v>214</v>
      </c>
      <c r="C28" t="s">
        <v>215</v>
      </c>
      <c r="T28" t="str">
        <f ca="1"/>
        <v>Assetvisie en -strategie</v>
      </c>
    </row>
    <row r="29" spans="1:22" ht="13.8" x14ac:dyDescent="0.3">
      <c r="A29">
        <v>3</v>
      </c>
      <c r="B29" t="s">
        <v>168</v>
      </c>
      <c r="C29" t="s">
        <v>216</v>
      </c>
      <c r="T29" t="str">
        <f ca="1"/>
        <v>Visie systeemontwikkeling</v>
      </c>
    </row>
    <row r="30" spans="1:22" ht="13.8" x14ac:dyDescent="0.3">
      <c r="A30" s="18" t="s">
        <v>217</v>
      </c>
      <c r="B30" t="s">
        <v>218</v>
      </c>
      <c r="C30" t="s">
        <v>216</v>
      </c>
      <c r="T30" t="str">
        <f ca="1"/>
        <v>Emplacementenvisie</v>
      </c>
      <c r="V30" t="s">
        <v>219</v>
      </c>
    </row>
    <row r="31" spans="1:22" ht="13.8" x14ac:dyDescent="0.3">
      <c r="A31" s="18" t="s">
        <v>220</v>
      </c>
      <c r="B31" t="s">
        <v>221</v>
      </c>
      <c r="C31" t="s">
        <v>186</v>
      </c>
      <c r="T31">
        <f ca="1"/>
        <v>0</v>
      </c>
      <c r="V31" s="2" t="s">
        <v>222</v>
      </c>
    </row>
    <row r="32" spans="1:22" ht="13.8" x14ac:dyDescent="0.3">
      <c r="A32">
        <v>5</v>
      </c>
      <c r="B32" t="s">
        <v>223</v>
      </c>
      <c r="C32" t="s">
        <v>224</v>
      </c>
    </row>
    <row r="33" spans="1:20" ht="13.8" x14ac:dyDescent="0.3">
      <c r="A33">
        <v>6</v>
      </c>
      <c r="B33" t="s">
        <v>225</v>
      </c>
      <c r="C33" t="s">
        <v>216</v>
      </c>
    </row>
    <row r="34" spans="1:20" ht="13.8" x14ac:dyDescent="0.3">
      <c r="A34">
        <v>7</v>
      </c>
      <c r="B34" t="s">
        <v>226</v>
      </c>
      <c r="C34" t="s">
        <v>186</v>
      </c>
    </row>
    <row r="35" spans="1:20" ht="13.8" x14ac:dyDescent="0.3">
      <c r="A35">
        <v>8</v>
      </c>
      <c r="B35" t="s">
        <v>227</v>
      </c>
      <c r="C35" t="s">
        <v>228</v>
      </c>
      <c r="T35" t="e" cm="1">
        <f t="array" aca="1" ref="T35" ca="1">INDIRECT("Grote_Ontwikkelingen["&amp;T20&amp;"]")</f>
        <v>#REF!</v>
      </c>
    </row>
    <row r="36" spans="1:20" ht="13.8" x14ac:dyDescent="0.3">
      <c r="A36">
        <v>9</v>
      </c>
      <c r="B36" t="s">
        <v>229</v>
      </c>
      <c r="C36" t="s">
        <v>230</v>
      </c>
    </row>
    <row r="37" spans="1:20" ht="13.8" x14ac:dyDescent="0.3">
      <c r="A37">
        <v>10</v>
      </c>
      <c r="B37" t="s">
        <v>231</v>
      </c>
      <c r="C37" t="s">
        <v>232</v>
      </c>
    </row>
    <row r="38" spans="1:20" ht="13.8" x14ac:dyDescent="0.3">
      <c r="A38">
        <v>11</v>
      </c>
      <c r="B38" t="s">
        <v>233</v>
      </c>
      <c r="C38" t="s">
        <v>216</v>
      </c>
    </row>
    <row r="39" spans="1:20" ht="13.8" x14ac:dyDescent="0.3">
      <c r="A39">
        <v>12</v>
      </c>
      <c r="B39" t="s">
        <v>234</v>
      </c>
      <c r="C39" t="s">
        <v>235</v>
      </c>
    </row>
    <row r="40" spans="1:20" ht="13.8" x14ac:dyDescent="0.3">
      <c r="A40">
        <v>13</v>
      </c>
      <c r="B40" t="s">
        <v>236</v>
      </c>
      <c r="C40" t="s">
        <v>216</v>
      </c>
    </row>
    <row r="41" spans="1:20" ht="13.8" x14ac:dyDescent="0.3">
      <c r="A41">
        <v>14</v>
      </c>
      <c r="B41" t="s">
        <v>237</v>
      </c>
      <c r="C41" t="s">
        <v>238</v>
      </c>
    </row>
    <row r="42" spans="1:20" ht="13.8" x14ac:dyDescent="0.3">
      <c r="A42">
        <v>15</v>
      </c>
      <c r="B42" t="s">
        <v>239</v>
      </c>
      <c r="C42" t="s">
        <v>230</v>
      </c>
    </row>
    <row r="43" spans="1:20" ht="13.8" x14ac:dyDescent="0.3">
      <c r="A43">
        <v>16</v>
      </c>
      <c r="B43" t="s">
        <v>240</v>
      </c>
      <c r="C43" t="s">
        <v>186</v>
      </c>
    </row>
    <row r="47" spans="1:20" ht="13.8" x14ac:dyDescent="0.3">
      <c r="A47" t="s">
        <v>194</v>
      </c>
      <c r="B47" t="s">
        <v>169</v>
      </c>
      <c r="C47" t="s">
        <v>241</v>
      </c>
      <c r="D47" t="s">
        <v>242</v>
      </c>
      <c r="E47" t="s">
        <v>243</v>
      </c>
      <c r="F47" t="s">
        <v>244</v>
      </c>
      <c r="G47" t="s">
        <v>245</v>
      </c>
    </row>
    <row r="48" spans="1:20" ht="13.8" x14ac:dyDescent="0.3">
      <c r="A48" t="s">
        <v>246</v>
      </c>
      <c r="B48" t="s">
        <v>170</v>
      </c>
      <c r="C48" t="s">
        <v>247</v>
      </c>
      <c r="D48" t="s">
        <v>248</v>
      </c>
      <c r="E48" t="s">
        <v>249</v>
      </c>
      <c r="G48" s="19" t="s">
        <v>250</v>
      </c>
    </row>
    <row r="49" spans="1:7" ht="13.8" x14ac:dyDescent="0.3">
      <c r="A49" t="s">
        <v>246</v>
      </c>
      <c r="B49" t="s">
        <v>251</v>
      </c>
      <c r="C49" t="s">
        <v>252</v>
      </c>
      <c r="G49" s="17" t="s">
        <v>253</v>
      </c>
    </row>
    <row r="50" spans="1:7" ht="13.8" x14ac:dyDescent="0.3">
      <c r="A50" t="s">
        <v>246</v>
      </c>
      <c r="B50" t="s">
        <v>254</v>
      </c>
      <c r="C50" t="s">
        <v>255</v>
      </c>
      <c r="D50" t="s">
        <v>256</v>
      </c>
      <c r="E50" t="s">
        <v>257</v>
      </c>
      <c r="G50" s="17" t="s">
        <v>258</v>
      </c>
    </row>
    <row r="51" spans="1:7" ht="12.75" customHeight="1" x14ac:dyDescent="0.3">
      <c r="A51" t="s">
        <v>259</v>
      </c>
      <c r="B51" t="s">
        <v>260</v>
      </c>
      <c r="C51" t="s">
        <v>261</v>
      </c>
      <c r="F51" s="17">
        <v>45791</v>
      </c>
      <c r="G51" s="20" t="s">
        <v>262</v>
      </c>
    </row>
    <row r="52" spans="1:7" ht="13.8" x14ac:dyDescent="0.3">
      <c r="A52" t="s">
        <v>246</v>
      </c>
      <c r="B52" t="s">
        <v>263</v>
      </c>
      <c r="C52" t="s">
        <v>264</v>
      </c>
      <c r="D52" t="s">
        <v>256</v>
      </c>
      <c r="E52" t="s">
        <v>257</v>
      </c>
      <c r="G52" s="17" t="s">
        <v>265</v>
      </c>
    </row>
    <row r="53" spans="1:7" ht="13.8" x14ac:dyDescent="0.3">
      <c r="B53" t="s">
        <v>266</v>
      </c>
      <c r="C53" t="s">
        <v>267</v>
      </c>
      <c r="D53" t="s">
        <v>256</v>
      </c>
      <c r="E53" t="s">
        <v>257</v>
      </c>
      <c r="G53" s="17" t="s">
        <v>265</v>
      </c>
    </row>
    <row r="54" spans="1:7" ht="13.8" x14ac:dyDescent="0.3">
      <c r="A54" t="s">
        <v>246</v>
      </c>
      <c r="B54" t="s">
        <v>268</v>
      </c>
      <c r="C54" t="s">
        <v>264</v>
      </c>
      <c r="G54" s="17" t="s">
        <v>269</v>
      </c>
    </row>
    <row r="55" spans="1:7" ht="13.8" x14ac:dyDescent="0.3">
      <c r="A55" t="s">
        <v>246</v>
      </c>
      <c r="B55" t="s">
        <v>270</v>
      </c>
      <c r="C55" t="s">
        <v>271</v>
      </c>
      <c r="F55" s="17">
        <v>45749</v>
      </c>
      <c r="G55" s="19"/>
    </row>
    <row r="56" spans="1:7" ht="13.8" x14ac:dyDescent="0.3">
      <c r="A56" t="s">
        <v>259</v>
      </c>
      <c r="B56" t="s">
        <v>272</v>
      </c>
      <c r="C56" t="s">
        <v>273</v>
      </c>
      <c r="F56" s="17">
        <v>45727</v>
      </c>
      <c r="G56" s="19"/>
    </row>
    <row r="57" spans="1:7" ht="13.8" x14ac:dyDescent="0.3">
      <c r="A57" t="s">
        <v>259</v>
      </c>
      <c r="B57" t="s">
        <v>274</v>
      </c>
      <c r="C57" t="s">
        <v>275</v>
      </c>
      <c r="D57" t="s">
        <v>256</v>
      </c>
      <c r="E57" t="s">
        <v>276</v>
      </c>
      <c r="G57" s="17" t="s">
        <v>277</v>
      </c>
    </row>
    <row r="58" spans="1:7" ht="13.8" x14ac:dyDescent="0.3">
      <c r="B58" t="s">
        <v>278</v>
      </c>
      <c r="C58" t="s">
        <v>279</v>
      </c>
      <c r="D58" t="s">
        <v>280</v>
      </c>
      <c r="E58" t="s">
        <v>249</v>
      </c>
      <c r="G58" s="17" t="s">
        <v>281</v>
      </c>
    </row>
    <row r="59" spans="1:7" ht="13.8" x14ac:dyDescent="0.3">
      <c r="B59" t="s">
        <v>282</v>
      </c>
      <c r="C59" t="s">
        <v>279</v>
      </c>
      <c r="D59" t="s">
        <v>283</v>
      </c>
      <c r="E59" t="s">
        <v>249</v>
      </c>
      <c r="G59" s="17" t="s">
        <v>284</v>
      </c>
    </row>
    <row r="60" spans="1:7" ht="13.8" x14ac:dyDescent="0.3">
      <c r="B60" t="s">
        <v>285</v>
      </c>
      <c r="C60" t="s">
        <v>286</v>
      </c>
      <c r="D60" t="s">
        <v>256</v>
      </c>
      <c r="E60" t="s">
        <v>249</v>
      </c>
      <c r="G60" s="17" t="s">
        <v>287</v>
      </c>
    </row>
    <row r="61" spans="1:7" ht="13.8" x14ac:dyDescent="0.3">
      <c r="B61" t="s">
        <v>288</v>
      </c>
      <c r="C61" t="s">
        <v>286</v>
      </c>
      <c r="D61" t="s">
        <v>256</v>
      </c>
      <c r="E61" t="s">
        <v>249</v>
      </c>
      <c r="G61" s="17" t="s">
        <v>289</v>
      </c>
    </row>
    <row r="62" spans="1:7" ht="13.8" x14ac:dyDescent="0.3">
      <c r="B62" t="s">
        <v>290</v>
      </c>
      <c r="C62" t="s">
        <v>291</v>
      </c>
      <c r="D62" t="s">
        <v>256</v>
      </c>
      <c r="E62" t="s">
        <v>249</v>
      </c>
      <c r="G62" s="17" t="s">
        <v>289</v>
      </c>
    </row>
    <row r="63" spans="1:7" ht="13.8" x14ac:dyDescent="0.3">
      <c r="B63" t="s">
        <v>292</v>
      </c>
      <c r="C63" t="s">
        <v>293</v>
      </c>
      <c r="D63" t="s">
        <v>256</v>
      </c>
      <c r="E63" t="s">
        <v>249</v>
      </c>
      <c r="G63" s="17" t="s">
        <v>289</v>
      </c>
    </row>
    <row r="64" spans="1:7" ht="13.8" x14ac:dyDescent="0.3">
      <c r="B64" t="s">
        <v>294</v>
      </c>
      <c r="C64" t="s">
        <v>291</v>
      </c>
      <c r="D64" t="s">
        <v>256</v>
      </c>
      <c r="E64" t="s">
        <v>249</v>
      </c>
      <c r="G64" s="17" t="s">
        <v>289</v>
      </c>
    </row>
    <row r="65" spans="2:7" ht="13.8" x14ac:dyDescent="0.3">
      <c r="B65" t="s">
        <v>295</v>
      </c>
      <c r="C65" t="s">
        <v>296</v>
      </c>
      <c r="D65" t="s">
        <v>297</v>
      </c>
      <c r="E65" t="s">
        <v>249</v>
      </c>
      <c r="F65" s="17">
        <v>45741</v>
      </c>
      <c r="G65" s="19" t="s">
        <v>298</v>
      </c>
    </row>
    <row r="66" spans="2:7" ht="13.8" x14ac:dyDescent="0.3">
      <c r="B66" t="s">
        <v>299</v>
      </c>
      <c r="C66" t="s">
        <v>300</v>
      </c>
      <c r="D66" t="s">
        <v>301</v>
      </c>
      <c r="E66" t="s">
        <v>249</v>
      </c>
      <c r="G66" s="17" t="s">
        <v>287</v>
      </c>
    </row>
    <row r="67" spans="2:7" ht="13.8" x14ac:dyDescent="0.3">
      <c r="B67" t="s">
        <v>302</v>
      </c>
      <c r="C67" t="s">
        <v>279</v>
      </c>
      <c r="D67" t="s">
        <v>303</v>
      </c>
      <c r="E67" t="s">
        <v>249</v>
      </c>
      <c r="G67" s="17" t="s">
        <v>304</v>
      </c>
    </row>
    <row r="68" spans="2:7" ht="13.8" x14ac:dyDescent="0.3">
      <c r="B68" t="s">
        <v>305</v>
      </c>
      <c r="C68" t="s">
        <v>306</v>
      </c>
      <c r="D68" t="s">
        <v>297</v>
      </c>
      <c r="E68" t="s">
        <v>249</v>
      </c>
      <c r="G68" s="17" t="s">
        <v>307</v>
      </c>
    </row>
    <row r="69" spans="2:7" ht="12.75" customHeight="1" x14ac:dyDescent="0.3">
      <c r="B69" t="s">
        <v>308</v>
      </c>
      <c r="C69" s="21" t="s">
        <v>309</v>
      </c>
      <c r="D69" t="s">
        <v>256</v>
      </c>
      <c r="E69" t="s">
        <v>257</v>
      </c>
      <c r="G69" s="20" t="s">
        <v>310</v>
      </c>
    </row>
    <row r="70" spans="2:7" ht="13.8" x14ac:dyDescent="0.3">
      <c r="B70" t="s">
        <v>311</v>
      </c>
      <c r="C70" t="s">
        <v>312</v>
      </c>
      <c r="D70" t="s">
        <v>256</v>
      </c>
      <c r="E70" t="s">
        <v>257</v>
      </c>
      <c r="G70" s="17" t="s">
        <v>313</v>
      </c>
    </row>
    <row r="71" spans="2:7" ht="13.8" x14ac:dyDescent="0.3">
      <c r="B71" t="s">
        <v>314</v>
      </c>
      <c r="C71" t="s">
        <v>315</v>
      </c>
      <c r="D71" t="s">
        <v>256</v>
      </c>
      <c r="E71" t="s">
        <v>257</v>
      </c>
      <c r="G71" s="17" t="s">
        <v>316</v>
      </c>
    </row>
    <row r="72" spans="2:7" ht="13.8" x14ac:dyDescent="0.3">
      <c r="B72" t="s">
        <v>317</v>
      </c>
      <c r="C72" t="s">
        <v>318</v>
      </c>
      <c r="G72" s="17" t="s">
        <v>319</v>
      </c>
    </row>
    <row r="73" spans="2:7" ht="13.8" x14ac:dyDescent="0.3">
      <c r="B73" t="s">
        <v>320</v>
      </c>
      <c r="C73" t="s">
        <v>321</v>
      </c>
      <c r="D73" t="s">
        <v>297</v>
      </c>
      <c r="E73" t="s">
        <v>322</v>
      </c>
      <c r="G73" s="17" t="s">
        <v>323</v>
      </c>
    </row>
    <row r="74" spans="2:7" ht="13.8" x14ac:dyDescent="0.3">
      <c r="B74" t="s">
        <v>324</v>
      </c>
      <c r="C74" t="s">
        <v>325</v>
      </c>
      <c r="D74" t="s">
        <v>160</v>
      </c>
      <c r="E74" t="s">
        <v>326</v>
      </c>
      <c r="G74" s="17" t="s">
        <v>327</v>
      </c>
    </row>
    <row r="75" spans="2:7" ht="15" customHeight="1" x14ac:dyDescent="0.3">
      <c r="B75" t="s">
        <v>328</v>
      </c>
      <c r="C75" t="s">
        <v>329</v>
      </c>
      <c r="D75" t="s">
        <v>330</v>
      </c>
      <c r="E75" t="s">
        <v>331</v>
      </c>
      <c r="F75" s="17" t="s">
        <v>332</v>
      </c>
      <c r="G75" s="20" t="s">
        <v>333</v>
      </c>
    </row>
    <row r="76" spans="2:7" ht="37.5" customHeight="1" x14ac:dyDescent="0.3">
      <c r="B76" t="s">
        <v>334</v>
      </c>
      <c r="C76" t="s">
        <v>335</v>
      </c>
      <c r="D76" t="s">
        <v>330</v>
      </c>
      <c r="E76" t="s">
        <v>331</v>
      </c>
      <c r="F76" s="17">
        <v>45797</v>
      </c>
      <c r="G76" s="20" t="s">
        <v>336</v>
      </c>
    </row>
    <row r="77" spans="2:7" ht="13.8" x14ac:dyDescent="0.3">
      <c r="B77" t="s">
        <v>153</v>
      </c>
      <c r="C77" t="s">
        <v>337</v>
      </c>
      <c r="D77" t="s">
        <v>256</v>
      </c>
      <c r="E77" t="s">
        <v>257</v>
      </c>
      <c r="G77" s="17"/>
    </row>
    <row r="78" spans="2:7" ht="13.8" x14ac:dyDescent="0.3">
      <c r="B78" t="s">
        <v>338</v>
      </c>
      <c r="C78" t="s">
        <v>339</v>
      </c>
      <c r="D78" t="s">
        <v>256</v>
      </c>
      <c r="E78" t="s">
        <v>340</v>
      </c>
      <c r="G78" s="17" t="s">
        <v>341</v>
      </c>
    </row>
    <row r="79" spans="2:7" ht="27.6" x14ac:dyDescent="0.3">
      <c r="B79" t="s">
        <v>342</v>
      </c>
      <c r="C79" t="s">
        <v>343</v>
      </c>
      <c r="D79" t="s">
        <v>303</v>
      </c>
      <c r="E79" t="s">
        <v>249</v>
      </c>
      <c r="F79" s="17">
        <v>45783</v>
      </c>
      <c r="G79" s="20" t="s">
        <v>344</v>
      </c>
    </row>
    <row r="80" spans="2:7" ht="14.4" x14ac:dyDescent="0.3">
      <c r="B80" s="16"/>
    </row>
    <row r="81" spans="1:6" ht="14.4" x14ac:dyDescent="0.3">
      <c r="B81" s="16"/>
    </row>
    <row r="82" spans="1:6" ht="14.4" x14ac:dyDescent="0.3">
      <c r="B82" s="16"/>
    </row>
    <row r="83" spans="1:6" ht="14.4" x14ac:dyDescent="0.3">
      <c r="B83" s="16"/>
    </row>
    <row r="84" spans="1:6" ht="14.4" x14ac:dyDescent="0.3">
      <c r="B84" s="16"/>
    </row>
    <row r="87" spans="1:6" ht="13.8" x14ac:dyDescent="0.3">
      <c r="A87" s="9" t="s">
        <v>171</v>
      </c>
      <c r="B87" s="8" t="s">
        <v>163</v>
      </c>
      <c r="C87" s="8" t="s">
        <v>165</v>
      </c>
      <c r="D87" s="10" t="s">
        <v>167</v>
      </c>
      <c r="E87" s="8" t="s">
        <v>169</v>
      </c>
      <c r="F87" s="22"/>
    </row>
    <row r="88" spans="1:6" ht="13.8" x14ac:dyDescent="0.3">
      <c r="A88" s="11">
        <v>1</v>
      </c>
      <c r="B88" s="3" t="s">
        <v>164</v>
      </c>
      <c r="C88" s="3" t="s">
        <v>196</v>
      </c>
      <c r="D88" s="4" t="s">
        <v>212</v>
      </c>
      <c r="E88" t="s">
        <v>170</v>
      </c>
    </row>
    <row r="89" spans="1:6" ht="13.8" x14ac:dyDescent="0.3">
      <c r="A89" s="12">
        <v>2</v>
      </c>
      <c r="B89" s="5" t="s">
        <v>176</v>
      </c>
      <c r="C89" s="5" t="s">
        <v>166</v>
      </c>
      <c r="D89" s="6" t="s">
        <v>214</v>
      </c>
      <c r="E89" t="s">
        <v>251</v>
      </c>
    </row>
    <row r="90" spans="1:6" ht="13.8" x14ac:dyDescent="0.3">
      <c r="A90" s="11">
        <v>3</v>
      </c>
      <c r="B90" s="3" t="s">
        <v>179</v>
      </c>
      <c r="C90" s="3" t="s">
        <v>159</v>
      </c>
      <c r="D90" s="4" t="s">
        <v>168</v>
      </c>
      <c r="E90" t="s">
        <v>254</v>
      </c>
    </row>
    <row r="91" spans="1:6" ht="13.8" x14ac:dyDescent="0.3">
      <c r="A91" s="12">
        <v>4</v>
      </c>
      <c r="B91" s="5" t="s">
        <v>182</v>
      </c>
      <c r="C91" s="5" t="s">
        <v>200</v>
      </c>
      <c r="D91" s="6" t="s">
        <v>218</v>
      </c>
      <c r="E91" t="s">
        <v>260</v>
      </c>
    </row>
    <row r="92" spans="1:6" ht="13.8" x14ac:dyDescent="0.3">
      <c r="A92" s="11">
        <v>5</v>
      </c>
      <c r="B92" s="3" t="s">
        <v>185</v>
      </c>
      <c r="C92" s="3" t="s">
        <v>201</v>
      </c>
      <c r="D92" s="4" t="s">
        <v>221</v>
      </c>
      <c r="E92" t="s">
        <v>263</v>
      </c>
    </row>
    <row r="93" spans="1:6" ht="13.8" x14ac:dyDescent="0.3">
      <c r="A93" s="12">
        <v>6</v>
      </c>
      <c r="B93" s="5" t="s">
        <v>187</v>
      </c>
      <c r="C93" s="5" t="s">
        <v>203</v>
      </c>
      <c r="D93" s="6" t="s">
        <v>223</v>
      </c>
      <c r="E93" t="s">
        <v>266</v>
      </c>
    </row>
    <row r="94" spans="1:6" ht="13.8" x14ac:dyDescent="0.3">
      <c r="A94" s="11">
        <v>7</v>
      </c>
      <c r="B94" s="3" t="s">
        <v>189</v>
      </c>
      <c r="C94" s="3" t="s">
        <v>206</v>
      </c>
      <c r="D94" s="4" t="s">
        <v>225</v>
      </c>
      <c r="E94" t="s">
        <v>268</v>
      </c>
    </row>
    <row r="95" spans="1:6" ht="13.8" x14ac:dyDescent="0.3">
      <c r="A95" s="12">
        <v>8</v>
      </c>
      <c r="B95" s="5" t="s">
        <v>191</v>
      </c>
      <c r="C95" s="5" t="s">
        <v>208</v>
      </c>
      <c r="D95" s="6" t="s">
        <v>226</v>
      </c>
      <c r="E95" t="s">
        <v>270</v>
      </c>
    </row>
    <row r="96" spans="1:6" ht="13.8" x14ac:dyDescent="0.3">
      <c r="A96" s="11"/>
      <c r="B96" s="3"/>
      <c r="C96" s="3"/>
      <c r="D96" s="4" t="s">
        <v>227</v>
      </c>
      <c r="E96" t="s">
        <v>272</v>
      </c>
    </row>
    <row r="97" spans="4:5" ht="13.8" x14ac:dyDescent="0.3">
      <c r="D97" s="6" t="s">
        <v>229</v>
      </c>
      <c r="E97" t="s">
        <v>274</v>
      </c>
    </row>
    <row r="98" spans="4:5" ht="13.8" x14ac:dyDescent="0.3">
      <c r="D98" s="4" t="s">
        <v>231</v>
      </c>
      <c r="E98" t="s">
        <v>278</v>
      </c>
    </row>
    <row r="99" spans="4:5" ht="13.8" x14ac:dyDescent="0.3">
      <c r="D99" s="6" t="s">
        <v>233</v>
      </c>
      <c r="E99" t="s">
        <v>282</v>
      </c>
    </row>
    <row r="100" spans="4:5" ht="13.8" x14ac:dyDescent="0.3">
      <c r="D100" s="4" t="s">
        <v>234</v>
      </c>
      <c r="E100" t="s">
        <v>285</v>
      </c>
    </row>
    <row r="101" spans="4:5" ht="13.8" x14ac:dyDescent="0.3">
      <c r="D101" s="6" t="s">
        <v>236</v>
      </c>
      <c r="E101" t="s">
        <v>288</v>
      </c>
    </row>
    <row r="102" spans="4:5" ht="13.8" x14ac:dyDescent="0.3">
      <c r="D102" s="4" t="s">
        <v>237</v>
      </c>
      <c r="E102" t="s">
        <v>290</v>
      </c>
    </row>
    <row r="103" spans="4:5" ht="13.8" x14ac:dyDescent="0.3">
      <c r="D103" s="6" t="s">
        <v>239</v>
      </c>
      <c r="E103" t="s">
        <v>292</v>
      </c>
    </row>
    <row r="104" spans="4:5" ht="13.8" x14ac:dyDescent="0.3">
      <c r="D104" s="4" t="s">
        <v>240</v>
      </c>
      <c r="E104" t="s">
        <v>294</v>
      </c>
    </row>
    <row r="105" spans="4:5" ht="13.8" x14ac:dyDescent="0.3">
      <c r="D105" s="6"/>
      <c r="E105" t="s">
        <v>295</v>
      </c>
    </row>
    <row r="106" spans="4:5" ht="13.8" x14ac:dyDescent="0.3">
      <c r="D106" s="6"/>
      <c r="E106" t="s">
        <v>299</v>
      </c>
    </row>
    <row r="107" spans="4:5" ht="13.8" x14ac:dyDescent="0.3">
      <c r="D107" s="6"/>
      <c r="E107" t="s">
        <v>302</v>
      </c>
    </row>
    <row r="108" spans="4:5" ht="13.8" x14ac:dyDescent="0.3">
      <c r="D108" s="6"/>
      <c r="E108" t="s">
        <v>305</v>
      </c>
    </row>
    <row r="109" spans="4:5" ht="13.8" x14ac:dyDescent="0.3">
      <c r="D109" s="6"/>
      <c r="E109" t="s">
        <v>345</v>
      </c>
    </row>
    <row r="110" spans="4:5" ht="13.8" x14ac:dyDescent="0.3">
      <c r="D110" s="6"/>
      <c r="E110" t="s">
        <v>311</v>
      </c>
    </row>
    <row r="111" spans="4:5" ht="13.8" x14ac:dyDescent="0.3">
      <c r="D111" s="6"/>
      <c r="E111" t="s">
        <v>314</v>
      </c>
    </row>
    <row r="112" spans="4:5" ht="13.8" x14ac:dyDescent="0.3">
      <c r="D112" s="6"/>
      <c r="E112" t="s">
        <v>317</v>
      </c>
    </row>
    <row r="113" spans="4:5" ht="13.8" x14ac:dyDescent="0.3">
      <c r="D113" s="6"/>
      <c r="E113" t="s">
        <v>320</v>
      </c>
    </row>
    <row r="114" spans="4:5" ht="13.8" x14ac:dyDescent="0.3">
      <c r="D114" s="6"/>
      <c r="E114" t="s">
        <v>324</v>
      </c>
    </row>
    <row r="115" spans="4:5" ht="13.8" x14ac:dyDescent="0.3">
      <c r="D115" s="6"/>
      <c r="E115" t="s">
        <v>328</v>
      </c>
    </row>
    <row r="116" spans="4:5" ht="13.8" x14ac:dyDescent="0.3">
      <c r="D116" s="6"/>
      <c r="E116" t="s">
        <v>334</v>
      </c>
    </row>
    <row r="117" spans="4:5" ht="13.8" x14ac:dyDescent="0.3">
      <c r="D117" s="6"/>
      <c r="E117" t="s">
        <v>153</v>
      </c>
    </row>
    <row r="118" spans="4:5" ht="13.8" x14ac:dyDescent="0.3">
      <c r="D118" s="6"/>
      <c r="E118" t="s">
        <v>338</v>
      </c>
    </row>
    <row r="119" spans="4:5" ht="13.8" x14ac:dyDescent="0.3">
      <c r="D119" s="6"/>
      <c r="E119" t="s">
        <v>342</v>
      </c>
    </row>
  </sheetData>
  <conditionalFormatting sqref="T2:T5">
    <cfRule type="cellIs" dxfId="7" priority="1" operator="equal">
      <formula>"AANDACHT"</formula>
    </cfRule>
    <cfRule type="cellIs" dxfId="6" priority="2" operator="equal">
      <formula>"RISICO"</formula>
    </cfRule>
    <cfRule type="cellIs" dxfId="5" priority="3" operator="equal">
      <formula>"OK"</formula>
    </cfRule>
    <cfRule type="cellIs" dxfId="4" priority="4" operator="equal">
      <formula>"NIET OK"</formula>
    </cfRule>
  </conditionalFormatting>
  <dataValidations count="2">
    <dataValidation type="list" allowBlank="1" showInputMessage="1" showErrorMessage="1" sqref="T20" xr:uid="{FDFAA513-18C0-4992-B975-E545FC710BB7}">
      <formula1>$R$2:$R$4</formula1>
    </dataValidation>
    <dataValidation type="list" allowBlank="1" showInputMessage="1" showErrorMessage="1" sqref="T21" xr:uid="{DC2A6DD3-F4A7-4BFB-8C2D-53A0A8954211}">
      <formula1>INDIRECT("Deelvisies["&amp;T20&amp;"]")</formula1>
    </dataValidation>
  </dataValidations>
  <pageMargins left="0.7" right="0.7" top="0.75" bottom="0.75" header="0.3" footer="0.3"/>
  <pageSetup paperSize="9" orientation="portrait" verticalDpi="0" r:id="rId1"/>
  <drawing r:id="rId2"/>
  <tableParts count="5">
    <tablePart r:id="rId3"/>
    <tablePart r:id="rId4"/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1ED338D64819D4999D88056A9234650" ma:contentTypeVersion="14" ma:contentTypeDescription="Een nieuw document maken." ma:contentTypeScope="" ma:versionID="906a62ba06a94ef06936e05cfa45222d">
  <xsd:schema xmlns:xsd="http://www.w3.org/2001/XMLSchema" xmlns:xs="http://www.w3.org/2001/XMLSchema" xmlns:p="http://schemas.microsoft.com/office/2006/metadata/properties" xmlns:ns2="82915e77-afcd-4f5e-9ebb-7de12dda698d" xmlns:ns3="d62ffb02-248d-462b-9e5a-6cfea69c14ba" targetNamespace="http://schemas.microsoft.com/office/2006/metadata/properties" ma:root="true" ma:fieldsID="378ff0e8fdc641d248f2a7fc0c5db6f5" ns2:_="" ns3:_="">
    <xsd:import namespace="82915e77-afcd-4f5e-9ebb-7de12dda698d"/>
    <xsd:import namespace="d62ffb02-248d-462b-9e5a-6cfea69c14ba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2:SharedWithUsers" minOccurs="0"/>
                <xsd:element ref="ns2:SharedWithDetails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915e77-afcd-4f5e-9ebb-7de12dda698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Waarde van de document-id" ma:description="De waarde van de document-id die aan dit item is toegewezen." ma:indexed="true" ma:internalName="_dlc_DocId" ma:readOnly="true">
      <xsd:simpleType>
        <xsd:restriction base="dms:Text"/>
      </xsd:simpleType>
    </xsd:element>
    <xsd:element name="_dlc_DocIdUrl" ma:index="9" nillable="true" ma:displayName="Document-id" ma:description="Permanente koppeling naar dit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SharedWithUsers" ma:index="15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90af705f-ec1a-48b2-9384-7ef94c9e484a}" ma:internalName="TaxCatchAll" ma:showField="CatchAllData" ma:web="82915e77-afcd-4f5e-9ebb-7de12dda698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2ffb02-248d-462b-9e5a-6cfea69c14b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8" nillable="true" ma:taxonomy="true" ma:internalName="lcf76f155ced4ddcb4097134ff3c332f" ma:taxonomyFieldName="MediaServiceImageTags" ma:displayName="Afbeeldingtags" ma:readOnly="false" ma:fieldId="{5cf76f15-5ced-4ddc-b409-7134ff3c332f}" ma:taxonomyMulti="true" ma:sspId="c2a34957-f4c5-4396-b3a3-e9c9104dfe7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82915e77-afcd-4f5e-9ebb-7de12dda698d">TS01957E072-1832883866-1268</_dlc_DocId>
    <_dlc_DocIdUrl xmlns="82915e77-afcd-4f5e-9ebb-7de12dda698d">
      <Url>https://prorailbv.sharepoint.com/teams/Sturenoprealisatie/_layouts/15/DocIdRedir.aspx?ID=TS01957E072-1832883866-1268</Url>
      <Description>TS01957E072-1832883866-1268</Description>
    </_dlc_DocIdUrl>
    <TaxCatchAll xmlns="82915e77-afcd-4f5e-9ebb-7de12dda698d" xsi:nil="true"/>
    <lcf76f155ced4ddcb4097134ff3c332f xmlns="d62ffb02-248d-462b-9e5a-6cfea69c14ba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5D72115-5990-4C2B-988F-AB7667A1729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915e77-afcd-4f5e-9ebb-7de12dda698d"/>
    <ds:schemaRef ds:uri="d62ffb02-248d-462b-9e5a-6cfea69c14b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A0A7F7A-561B-4228-82F1-8BAABD7B3DE3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1C1016DB-C366-422F-A014-329146C726F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109A9E77-CDFB-49F9-BEF3-242BD1BE530A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F9C938EB-F6E7-43C2-AA8A-A415764AFDD2}">
  <ds:schemaRefs>
    <ds:schemaRef ds:uri="http://schemas.microsoft.com/office/2006/metadata/properties"/>
    <ds:schemaRef ds:uri="http://schemas.microsoft.com/office/infopath/2007/PartnerControls"/>
    <ds:schemaRef ds:uri="82915e77-afcd-4f5e-9ebb-7de12dda698d"/>
    <ds:schemaRef ds:uri="d62ffb02-248d-462b-9e5a-6cfea69c14b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TM16410090</Templat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1</vt:i4>
      </vt:variant>
    </vt:vector>
  </HeadingPairs>
  <TitlesOfParts>
    <vt:vector size="4" baseType="lpstr">
      <vt:lpstr>Aanvraagformulier</vt:lpstr>
      <vt:lpstr>Toetscriteria</vt:lpstr>
      <vt:lpstr>Gegevensblad</vt:lpstr>
      <vt:lpstr>Aanvraagformulier!Afdrukbereik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Mitch.deMan@prorail.nl;marcel.elsendoorn@prorail.nl</dc:creator>
  <cp:keywords/>
  <dc:description/>
  <cp:lastModifiedBy>Gunter, F.A. (Floris)</cp:lastModifiedBy>
  <cp:revision/>
  <dcterms:created xsi:type="dcterms:W3CDTF">2018-04-13T10:29:10Z</dcterms:created>
  <dcterms:modified xsi:type="dcterms:W3CDTF">2026-03-25T15:20:37Z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0x010100F1ED338D64819D4999D88056A9234650</vt:lpwstr>
  </property>
  <property fmtid="{D5CDD505-2E9C-101B-9397-08002B2CF9AE}" pid="3" name="_dlc_DocIdItemGuid">
    <vt:lpwstr>12b5d771-6e45-487a-9ff5-896f0f49c7ef</vt:lpwstr>
  </property>
  <property fmtid="{D5CDD505-2E9C-101B-9397-08002B2CF9AE}" pid="4" name="MediaServiceImageTags">
    <vt:lpwstr/>
  </property>
  <property fmtid="{D5CDD505-2E9C-101B-9397-08002B2CF9AE}" pid="5" name="MSIP_Label_24e57bac-d225-40fb-8a9e-62b5be587a96_Enabled">
    <vt:lpwstr>true</vt:lpwstr>
  </property>
  <property fmtid="{D5CDD505-2E9C-101B-9397-08002B2CF9AE}" pid="6" name="MSIP_Label_24e57bac-d225-40fb-8a9e-62b5be587a96_SetDate">
    <vt:lpwstr>2025-03-18T08:24:29Z</vt:lpwstr>
  </property>
  <property fmtid="{D5CDD505-2E9C-101B-9397-08002B2CF9AE}" pid="7" name="MSIP_Label_24e57bac-d225-40fb-8a9e-62b5be587a96_Method">
    <vt:lpwstr>Standard</vt:lpwstr>
  </property>
  <property fmtid="{D5CDD505-2E9C-101B-9397-08002B2CF9AE}" pid="8" name="MSIP_Label_24e57bac-d225-40fb-8a9e-62b5be587a96_Name">
    <vt:lpwstr>Internal</vt:lpwstr>
  </property>
  <property fmtid="{D5CDD505-2E9C-101B-9397-08002B2CF9AE}" pid="9" name="MSIP_Label_24e57bac-d225-40fb-8a9e-62b5be587a96_SiteId">
    <vt:lpwstr>a398fcff-8d2b-4930-a7f7-e1c99a108d77</vt:lpwstr>
  </property>
  <property fmtid="{D5CDD505-2E9C-101B-9397-08002B2CF9AE}" pid="10" name="MSIP_Label_24e57bac-d225-40fb-8a9e-62b5be587a96_ActionId">
    <vt:lpwstr>36ce8c3e-bc0f-4aaa-87ea-d34d0508d048</vt:lpwstr>
  </property>
  <property fmtid="{D5CDD505-2E9C-101B-9397-08002B2CF9AE}" pid="11" name="MSIP_Label_24e57bac-d225-40fb-8a9e-62b5be587a96_ContentBits">
    <vt:lpwstr>0</vt:lpwstr>
  </property>
  <property fmtid="{D5CDD505-2E9C-101B-9397-08002B2CF9AE}" pid="12" name="MSIP_Label_24e57bac-d225-40fb-8a9e-62b5be587a96_Tag">
    <vt:lpwstr>10, 3, 0, 1</vt:lpwstr>
  </property>
</Properties>
</file>