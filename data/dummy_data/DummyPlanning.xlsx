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railbv.sharepoint.com/teams/Sturenoprealisatie/Gedeelde documenten/General/05. Data/Hackathon/Hackathon2/Dummy Hackathon/"/>
    </mc:Choice>
  </mc:AlternateContent>
  <xr:revisionPtr revIDLastSave="53" documentId="8_{BC9F439E-1F48-4E51-86C1-5F610C755A6D}" xr6:coauthVersionLast="47" xr6:coauthVersionMax="47" xr10:uidLastSave="{C0FC6AB7-5A2D-424F-90C2-5300D3BE5067}"/>
  <bookViews>
    <workbookView xWindow="-108" yWindow="-108" windowWidth="23256" windowHeight="13896" xr2:uid="{091CC23A-2D53-4A72-B03A-BF0354AFF49B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10" i="1"/>
  <c r="C9" i="1"/>
  <c r="C8" i="1"/>
  <c r="C7" i="1"/>
  <c r="C6" i="1"/>
  <c r="C5" i="1"/>
  <c r="C4" i="1"/>
  <c r="C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2" i="1"/>
</calcChain>
</file>

<file path=xl/sharedStrings.xml><?xml version="1.0" encoding="utf-8"?>
<sst xmlns="http://schemas.openxmlformats.org/spreadsheetml/2006/main" count="109" uniqueCount="59">
  <si>
    <t>Plandatum</t>
  </si>
  <si>
    <t>Standlijn</t>
  </si>
  <si>
    <t>Klanteis</t>
  </si>
  <si>
    <t>ProjectID</t>
  </si>
  <si>
    <t>Jaar</t>
  </si>
  <si>
    <t>HaalbaarheidBoolean</t>
  </si>
  <si>
    <t>WithinSORPlanningC</t>
  </si>
  <si>
    <t>True</t>
  </si>
  <si>
    <t>T-GR03N1</t>
  </si>
  <si>
    <t>T-GR03N2</t>
  </si>
  <si>
    <t>T-GR03N3</t>
  </si>
  <si>
    <t>T-GR03N4</t>
  </si>
  <si>
    <t>T-GR03N5</t>
  </si>
  <si>
    <t>T-GR03N6</t>
  </si>
  <si>
    <t>T-GR03N7</t>
  </si>
  <si>
    <t>T-GR03N8</t>
  </si>
  <si>
    <t>T-GR03N9</t>
  </si>
  <si>
    <t>T-GRN010</t>
  </si>
  <si>
    <t>T-GRN011</t>
  </si>
  <si>
    <t>T-GRN012</t>
  </si>
  <si>
    <t>T-GRN013</t>
  </si>
  <si>
    <t>T-GRN014</t>
  </si>
  <si>
    <t>T-GRN015</t>
  </si>
  <si>
    <t>T-GRN016</t>
  </si>
  <si>
    <t>T-GRN017</t>
  </si>
  <si>
    <t>T-GRN018</t>
  </si>
  <si>
    <t>T-GRN019</t>
  </si>
  <si>
    <t>T-GRN020</t>
  </si>
  <si>
    <t>T-GRN021</t>
  </si>
  <si>
    <t>T-GRN022</t>
  </si>
  <si>
    <t>T-GRN023</t>
  </si>
  <si>
    <t>T-GRN024</t>
  </si>
  <si>
    <t>T-GRN025</t>
  </si>
  <si>
    <t>T-GRN026</t>
  </si>
  <si>
    <t>T-GRN027</t>
  </si>
  <si>
    <t>T-GRN028</t>
  </si>
  <si>
    <t>T-GRN029</t>
  </si>
  <si>
    <t>T-GRN030</t>
  </si>
  <si>
    <t>T-GRN031</t>
  </si>
  <si>
    <t>T-GRN032</t>
  </si>
  <si>
    <t>T-GRN033</t>
  </si>
  <si>
    <t>T-GRN034</t>
  </si>
  <si>
    <t>T-GRN035</t>
  </si>
  <si>
    <t>T-GRN036</t>
  </si>
  <si>
    <t>T-GRN037</t>
  </si>
  <si>
    <t>T-GRN038</t>
  </si>
  <si>
    <t>T-GRN039</t>
  </si>
  <si>
    <t>T-GRN040</t>
  </si>
  <si>
    <t>T-GRN041</t>
  </si>
  <si>
    <t>T-GRN042</t>
  </si>
  <si>
    <t>T-GRN043</t>
  </si>
  <si>
    <t>T-GRN044</t>
  </si>
  <si>
    <t>T-GRN045</t>
  </si>
  <si>
    <t>T-GRN046</t>
  </si>
  <si>
    <t>T-GRN047</t>
  </si>
  <si>
    <t>T-GRN048</t>
  </si>
  <si>
    <t>T-GRN049</t>
  </si>
  <si>
    <t>T-GRN050</t>
  </si>
  <si>
    <t>T-GRN051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</si>
</sst>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3" x14ac:knownFonts="1">
    <font>
      <sz val="10"/>
      <color theme="1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14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473F-CF08-4353-95A3-8DEAC8352DA6}">
  <dimension ref="A1:G52"/>
  <sheetViews>
    <sheetView tabSelected="1" workbookViewId="0">
      <selection activeCell="A17" sqref="A17"/>
    </sheetView>
  </sheetViews>
  <sheetFormatPr defaultRowHeight="13.2" x14ac:dyDescent="0.25"/>
  <cols>
    <col min="1" max="1" width="12.88671875" style="5" customWidth="1"/>
    <col min="2" max="2" width="11.44140625" customWidth="1"/>
    <col min="3" max="3" width="30.33203125" style="5" customWidth="1"/>
    <col min="4" max="4" width="24.21875" customWidth="1"/>
    <col min="5" max="5" width="10" bestFit="1" customWidth="1"/>
  </cols>
  <sheetData>
    <row r="1" spans="1:7" ht="14.4" x14ac:dyDescent="0.3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A2" s="2">
        <v>47848</v>
      </c>
      <c r="B2" s="2">
        <v>46065</v>
      </c>
      <c r="C2" s="2">
        <v>47848</v>
      </c>
      <c r="D2" s="1" t="s">
        <v>8</v>
      </c>
      <c r="E2" s="1">
        <f>YEAR(A2)</f>
        <v>2030</v>
      </c>
      <c r="F2" s="3" t="s">
        <v>7</v>
      </c>
      <c r="G2" s="4">
        <v>0</v>
      </c>
    </row>
    <row r="3" spans="1:7" ht="14.4" x14ac:dyDescent="0.3">
      <c r="A3" s="2">
        <v>46753</v>
      </c>
      <c r="B3" s="2">
        <v>46065</v>
      </c>
      <c r="C3" s="2">
        <f>A3+-20</f>
        <v>46733</v>
      </c>
      <c r="D3" s="1" t="s">
        <v>9</v>
      </c>
      <c r="E3" s="1">
        <f t="shared" ref="E3:E52" si="0">YEAR(A3)</f>
        <v>2028</v>
      </c>
      <c r="F3" s="3" t="s">
        <v>7</v>
      </c>
      <c r="G3" s="4">
        <v>0</v>
      </c>
    </row>
    <row r="4" spans="1:7" ht="14.4" x14ac:dyDescent="0.3">
      <c r="A4" s="2">
        <v>46784</v>
      </c>
      <c r="B4" s="2">
        <v>46065</v>
      </c>
      <c r="C4" s="2">
        <f>A4+-50</f>
        <v>46734</v>
      </c>
      <c r="D4" s="1" t="s">
        <v>10</v>
      </c>
      <c r="E4" s="1">
        <f t="shared" si="0"/>
        <v>2028</v>
      </c>
      <c r="F4" s="3" t="s">
        <v>7</v>
      </c>
      <c r="G4" s="4">
        <v>0</v>
      </c>
    </row>
    <row r="5" spans="1:7" ht="14.4" x14ac:dyDescent="0.3">
      <c r="A5" s="2">
        <v>46813</v>
      </c>
      <c r="B5" s="2">
        <v>46065</v>
      </c>
      <c r="C5" s="2">
        <f>A5+100</f>
        <v>46913</v>
      </c>
      <c r="D5" s="1" t="s">
        <v>11</v>
      </c>
      <c r="E5" s="1">
        <f t="shared" si="0"/>
        <v>2028</v>
      </c>
      <c r="F5" s="3" t="s">
        <v>7</v>
      </c>
      <c r="G5" s="4">
        <v>0</v>
      </c>
    </row>
    <row r="6" spans="1:7" ht="14.4" x14ac:dyDescent="0.3">
      <c r="A6" s="2">
        <v>46844</v>
      </c>
      <c r="B6" s="2">
        <v>46065</v>
      </c>
      <c r="C6" s="2">
        <f>A6+70</f>
        <v>46914</v>
      </c>
      <c r="D6" s="1" t="s">
        <v>12</v>
      </c>
      <c r="E6" s="1">
        <f t="shared" si="0"/>
        <v>2028</v>
      </c>
      <c r="F6" s="3" t="s">
        <v>7</v>
      </c>
      <c r="G6" s="4">
        <v>0</v>
      </c>
    </row>
    <row r="7" spans="1:7" ht="14.4" x14ac:dyDescent="0.3">
      <c r="A7" s="2">
        <v>46874</v>
      </c>
      <c r="B7" s="2">
        <v>46065</v>
      </c>
      <c r="C7" s="2">
        <f>A7+300</f>
        <v>47174</v>
      </c>
      <c r="D7" s="1" t="s">
        <v>13</v>
      </c>
      <c r="E7" s="1">
        <f t="shared" si="0"/>
        <v>2028</v>
      </c>
      <c r="F7" s="3" t="s">
        <v>7</v>
      </c>
      <c r="G7" s="4">
        <v>0</v>
      </c>
    </row>
    <row r="8" spans="1:7" ht="14.4" x14ac:dyDescent="0.3">
      <c r="A8" s="2">
        <v>46905</v>
      </c>
      <c r="B8" s="2">
        <v>46065</v>
      </c>
      <c r="C8" s="2">
        <f>A8-189</f>
        <v>46716</v>
      </c>
      <c r="D8" s="1" t="s">
        <v>14</v>
      </c>
      <c r="E8" s="1">
        <f t="shared" si="0"/>
        <v>2028</v>
      </c>
      <c r="F8" s="3" t="s">
        <v>7</v>
      </c>
      <c r="G8" s="4">
        <v>0</v>
      </c>
    </row>
    <row r="9" spans="1:7" ht="14.4" x14ac:dyDescent="0.3">
      <c r="A9" s="2">
        <v>46935</v>
      </c>
      <c r="B9" s="2">
        <v>46065</v>
      </c>
      <c r="C9" s="2">
        <f>A9-12</f>
        <v>46923</v>
      </c>
      <c r="D9" s="1" t="s">
        <v>15</v>
      </c>
      <c r="E9" s="1">
        <f t="shared" si="0"/>
        <v>2028</v>
      </c>
      <c r="F9" s="3" t="s">
        <v>7</v>
      </c>
      <c r="G9" s="4">
        <v>0</v>
      </c>
    </row>
    <row r="10" spans="1:7" ht="14.4" x14ac:dyDescent="0.3">
      <c r="A10" s="2">
        <v>46966</v>
      </c>
      <c r="B10" s="2">
        <v>46065</v>
      </c>
      <c r="C10" s="2">
        <f>A10+56</f>
        <v>47022</v>
      </c>
      <c r="D10" s="1" t="s">
        <v>16</v>
      </c>
      <c r="E10" s="1">
        <f t="shared" si="0"/>
        <v>2028</v>
      </c>
      <c r="F10" s="3" t="s">
        <v>7</v>
      </c>
      <c r="G10" s="4">
        <v>0</v>
      </c>
    </row>
    <row r="11" spans="1:7" ht="14.4" x14ac:dyDescent="0.3">
      <c r="A11" s="2">
        <v>46997</v>
      </c>
      <c r="B11" s="2">
        <v>46065</v>
      </c>
      <c r="C11" s="2">
        <f t="shared" ref="C11" si="1">A11+-20</f>
        <v>46977</v>
      </c>
      <c r="D11" s="1" t="s">
        <v>17</v>
      </c>
      <c r="E11" s="1">
        <f t="shared" si="0"/>
        <v>2028</v>
      </c>
      <c r="F11" s="3" t="s">
        <v>7</v>
      </c>
      <c r="G11" s="4">
        <v>0</v>
      </c>
    </row>
    <row r="12" spans="1:7" ht="14.4" x14ac:dyDescent="0.3">
      <c r="A12" s="2">
        <v>47027</v>
      </c>
      <c r="B12" s="2">
        <v>46065</v>
      </c>
      <c r="C12" s="2">
        <f t="shared" ref="C12" si="2">A12+-50</f>
        <v>46977</v>
      </c>
      <c r="D12" s="1" t="s">
        <v>18</v>
      </c>
      <c r="E12" s="1">
        <f t="shared" si="0"/>
        <v>2028</v>
      </c>
      <c r="F12" s="3" t="s">
        <v>7</v>
      </c>
      <c r="G12" s="4">
        <v>0</v>
      </c>
    </row>
    <row r="13" spans="1:7" ht="14.4" x14ac:dyDescent="0.3">
      <c r="A13" s="2">
        <v>47058</v>
      </c>
      <c r="B13" s="2">
        <v>46065</v>
      </c>
      <c r="C13" s="2">
        <f t="shared" ref="C13" si="3">A13+100</f>
        <v>47158</v>
      </c>
      <c r="D13" s="1" t="s">
        <v>19</v>
      </c>
      <c r="E13" s="1">
        <f t="shared" si="0"/>
        <v>2028</v>
      </c>
      <c r="F13" s="3" t="s">
        <v>7</v>
      </c>
      <c r="G13" s="4">
        <v>0</v>
      </c>
    </row>
    <row r="14" spans="1:7" ht="14.4" x14ac:dyDescent="0.3">
      <c r="A14" s="2">
        <v>47088</v>
      </c>
      <c r="B14" s="2">
        <v>46065</v>
      </c>
      <c r="C14" s="2">
        <f t="shared" ref="C14" si="4">A14+70</f>
        <v>47158</v>
      </c>
      <c r="D14" s="1" t="s">
        <v>20</v>
      </c>
      <c r="E14" s="1">
        <f t="shared" si="0"/>
        <v>2028</v>
      </c>
      <c r="F14" s="3" t="s">
        <v>7</v>
      </c>
      <c r="G14" s="4">
        <v>0</v>
      </c>
    </row>
    <row r="15" spans="1:7" ht="14.4" x14ac:dyDescent="0.3">
      <c r="A15" s="2">
        <v>47119</v>
      </c>
      <c r="B15" s="2">
        <v>46065</v>
      </c>
      <c r="C15" s="2">
        <f t="shared" ref="C15" si="5">A15+300</f>
        <v>47419</v>
      </c>
      <c r="D15" s="1" t="s">
        <v>21</v>
      </c>
      <c r="E15" s="1">
        <f t="shared" si="0"/>
        <v>2029</v>
      </c>
      <c r="F15" s="3" t="s">
        <v>7</v>
      </c>
      <c r="G15" s="4">
        <v>0</v>
      </c>
    </row>
    <row r="16" spans="1:7" ht="14.4" x14ac:dyDescent="0.3">
      <c r="A16" s="2">
        <v>47150</v>
      </c>
      <c r="B16" s="2">
        <v>46065</v>
      </c>
      <c r="C16" s="2">
        <f t="shared" ref="C16" si="6">A16-189</f>
        <v>46961</v>
      </c>
      <c r="D16" s="1" t="s">
        <v>22</v>
      </c>
      <c r="E16" s="1">
        <f t="shared" si="0"/>
        <v>2029</v>
      </c>
      <c r="F16" s="3" t="s">
        <v>7</v>
      </c>
      <c r="G16" s="4">
        <v>0</v>
      </c>
    </row>
    <row r="17" spans="1:7" ht="14.4" x14ac:dyDescent="0.3">
      <c r="A17" s="2">
        <v>47178</v>
      </c>
      <c r="B17" s="2">
        <v>46065</v>
      </c>
      <c r="C17" s="2">
        <f t="shared" ref="C17" si="7">A17-12</f>
        <v>47166</v>
      </c>
      <c r="D17" s="1" t="s">
        <v>23</v>
      </c>
      <c r="E17" s="1">
        <f t="shared" si="0"/>
        <v>2029</v>
      </c>
      <c r="F17" s="3" t="s">
        <v>7</v>
      </c>
      <c r="G17" s="4">
        <v>0</v>
      </c>
    </row>
    <row r="18" spans="1:7" ht="14.4" x14ac:dyDescent="0.3">
      <c r="A18" s="2">
        <v>47209</v>
      </c>
      <c r="B18" s="2">
        <v>46065</v>
      </c>
      <c r="C18" s="2">
        <f t="shared" ref="C18" si="8">A18+56</f>
        <v>47265</v>
      </c>
      <c r="D18" s="1" t="s">
        <v>24</v>
      </c>
      <c r="E18" s="1">
        <f t="shared" si="0"/>
        <v>2029</v>
      </c>
      <c r="F18" s="3" t="s">
        <v>7</v>
      </c>
      <c r="G18" s="4">
        <v>0</v>
      </c>
    </row>
    <row r="19" spans="1:7" ht="14.4" x14ac:dyDescent="0.3">
      <c r="A19" s="2">
        <v>47239</v>
      </c>
      <c r="B19" s="2">
        <v>46065</v>
      </c>
      <c r="C19" s="2">
        <f t="shared" ref="C19" si="9">A19+-20</f>
        <v>47219</v>
      </c>
      <c r="D19" s="1" t="s">
        <v>25</v>
      </c>
      <c r="E19" s="1">
        <f t="shared" si="0"/>
        <v>2029</v>
      </c>
      <c r="F19" s="3" t="s">
        <v>7</v>
      </c>
      <c r="G19" s="4">
        <v>0</v>
      </c>
    </row>
    <row r="20" spans="1:7" ht="14.4" x14ac:dyDescent="0.3">
      <c r="A20" s="2">
        <v>47270</v>
      </c>
      <c r="B20" s="2">
        <v>46065</v>
      </c>
      <c r="C20" s="2">
        <f t="shared" ref="C20" si="10">A20+-50</f>
        <v>47220</v>
      </c>
      <c r="D20" s="1" t="s">
        <v>26</v>
      </c>
      <c r="E20" s="1">
        <f t="shared" si="0"/>
        <v>2029</v>
      </c>
      <c r="F20" s="3" t="s">
        <v>7</v>
      </c>
      <c r="G20" s="4">
        <v>0</v>
      </c>
    </row>
    <row r="21" spans="1:7" ht="14.4" x14ac:dyDescent="0.3">
      <c r="A21" s="2">
        <v>47300</v>
      </c>
      <c r="B21" s="2">
        <v>46065</v>
      </c>
      <c r="C21" s="2">
        <f t="shared" ref="C21" si="11">A21+100</f>
        <v>47400</v>
      </c>
      <c r="D21" s="1" t="s">
        <v>27</v>
      </c>
      <c r="E21" s="1">
        <f t="shared" si="0"/>
        <v>2029</v>
      </c>
      <c r="F21" s="3" t="s">
        <v>7</v>
      </c>
      <c r="G21" s="4">
        <v>0</v>
      </c>
    </row>
    <row r="22" spans="1:7" ht="14.4" x14ac:dyDescent="0.3">
      <c r="A22" s="2">
        <v>47331</v>
      </c>
      <c r="B22" s="2">
        <v>46065</v>
      </c>
      <c r="C22" s="2">
        <f t="shared" ref="C22" si="12">A22+70</f>
        <v>47401</v>
      </c>
      <c r="D22" s="1" t="s">
        <v>28</v>
      </c>
      <c r="E22" s="1">
        <f t="shared" si="0"/>
        <v>2029</v>
      </c>
      <c r="F22" s="3" t="s">
        <v>7</v>
      </c>
      <c r="G22" s="4">
        <v>0</v>
      </c>
    </row>
    <row r="23" spans="1:7" ht="14.4" x14ac:dyDescent="0.3">
      <c r="A23" s="2">
        <v>47362</v>
      </c>
      <c r="B23" s="2">
        <v>46065</v>
      </c>
      <c r="C23" s="2">
        <f t="shared" ref="C23" si="13">A23+300</f>
        <v>47662</v>
      </c>
      <c r="D23" s="1" t="s">
        <v>29</v>
      </c>
      <c r="E23" s="1">
        <f t="shared" si="0"/>
        <v>2029</v>
      </c>
      <c r="F23" s="3" t="s">
        <v>7</v>
      </c>
      <c r="G23" s="4">
        <v>0</v>
      </c>
    </row>
    <row r="24" spans="1:7" ht="14.4" x14ac:dyDescent="0.3">
      <c r="A24" s="2">
        <v>47392</v>
      </c>
      <c r="B24" s="2">
        <v>46065</v>
      </c>
      <c r="C24" s="2">
        <f t="shared" ref="C24" si="14">A24-189</f>
        <v>47203</v>
      </c>
      <c r="D24" s="1" t="s">
        <v>30</v>
      </c>
      <c r="E24" s="1">
        <f t="shared" si="0"/>
        <v>2029</v>
      </c>
      <c r="F24" s="3" t="s">
        <v>7</v>
      </c>
      <c r="G24" s="4">
        <v>0</v>
      </c>
    </row>
    <row r="25" spans="1:7" ht="14.4" x14ac:dyDescent="0.3">
      <c r="A25" s="2">
        <v>47423</v>
      </c>
      <c r="B25" s="2">
        <v>46065</v>
      </c>
      <c r="C25" s="2">
        <f t="shared" ref="C25" si="15">A25-12</f>
        <v>47411</v>
      </c>
      <c r="D25" s="1" t="s">
        <v>31</v>
      </c>
      <c r="E25" s="1">
        <f t="shared" si="0"/>
        <v>2029</v>
      </c>
      <c r="F25" s="3" t="s">
        <v>7</v>
      </c>
      <c r="G25" s="4">
        <v>0</v>
      </c>
    </row>
    <row r="26" spans="1:7" ht="14.4" x14ac:dyDescent="0.3">
      <c r="A26" s="2">
        <v>47453</v>
      </c>
      <c r="B26" s="2">
        <v>46065</v>
      </c>
      <c r="C26" s="2">
        <f t="shared" ref="C26" si="16">A26+56</f>
        <v>47509</v>
      </c>
      <c r="D26" s="1" t="s">
        <v>32</v>
      </c>
      <c r="E26" s="1">
        <f t="shared" si="0"/>
        <v>2029</v>
      </c>
      <c r="F26" s="3" t="s">
        <v>7</v>
      </c>
      <c r="G26" s="4">
        <v>0</v>
      </c>
    </row>
    <row r="27" spans="1:7" ht="14.4" x14ac:dyDescent="0.3">
      <c r="A27" s="2">
        <v>47484</v>
      </c>
      <c r="B27" s="2">
        <v>46065</v>
      </c>
      <c r="C27" s="2">
        <f t="shared" ref="C27" si="17">A27+-20</f>
        <v>47464</v>
      </c>
      <c r="D27" s="1" t="s">
        <v>33</v>
      </c>
      <c r="E27" s="1">
        <f t="shared" si="0"/>
        <v>2030</v>
      </c>
      <c r="F27" s="3" t="s">
        <v>7</v>
      </c>
      <c r="G27" s="4">
        <v>0</v>
      </c>
    </row>
    <row r="28" spans="1:7" ht="14.4" x14ac:dyDescent="0.3">
      <c r="A28" s="2">
        <v>47515</v>
      </c>
      <c r="B28" s="2">
        <v>46065</v>
      </c>
      <c r="C28" s="2">
        <f t="shared" ref="C28" si="18">A28+-50</f>
        <v>47465</v>
      </c>
      <c r="D28" s="1" t="s">
        <v>34</v>
      </c>
      <c r="E28" s="1">
        <f t="shared" si="0"/>
        <v>2030</v>
      </c>
      <c r="F28" s="3" t="s">
        <v>7</v>
      </c>
      <c r="G28" s="4">
        <v>0</v>
      </c>
    </row>
    <row r="29" spans="1:7" ht="14.4" x14ac:dyDescent="0.3">
      <c r="A29" s="2">
        <v>47543</v>
      </c>
      <c r="B29" s="2">
        <v>46065</v>
      </c>
      <c r="C29" s="2">
        <f t="shared" ref="C29" si="19">A29+100</f>
        <v>47643</v>
      </c>
      <c r="D29" s="1" t="s">
        <v>35</v>
      </c>
      <c r="E29" s="1">
        <f t="shared" si="0"/>
        <v>2030</v>
      </c>
      <c r="F29" s="3" t="s">
        <v>7</v>
      </c>
      <c r="G29" s="4">
        <v>0</v>
      </c>
    </row>
    <row r="30" spans="1:7" ht="14.4" x14ac:dyDescent="0.3">
      <c r="A30" s="2">
        <v>47574</v>
      </c>
      <c r="B30" s="2">
        <v>46065</v>
      </c>
      <c r="C30" s="2">
        <f t="shared" ref="C30" si="20">A30+70</f>
        <v>47644</v>
      </c>
      <c r="D30" s="1" t="s">
        <v>36</v>
      </c>
      <c r="E30" s="1">
        <f t="shared" si="0"/>
        <v>2030</v>
      </c>
      <c r="F30" s="3" t="s">
        <v>7</v>
      </c>
      <c r="G30" s="4">
        <v>0</v>
      </c>
    </row>
    <row r="31" spans="1:7" ht="14.4" x14ac:dyDescent="0.3">
      <c r="A31" s="2">
        <v>47604</v>
      </c>
      <c r="B31" s="2">
        <v>46065</v>
      </c>
      <c r="C31" s="2">
        <f t="shared" ref="C31" si="21">A31+300</f>
        <v>47904</v>
      </c>
      <c r="D31" s="1" t="s">
        <v>37</v>
      </c>
      <c r="E31" s="1">
        <f t="shared" si="0"/>
        <v>2030</v>
      </c>
      <c r="F31" s="3" t="s">
        <v>7</v>
      </c>
      <c r="G31" s="4">
        <v>0</v>
      </c>
    </row>
    <row r="32" spans="1:7" ht="14.4" x14ac:dyDescent="0.3">
      <c r="A32" s="2">
        <v>47635</v>
      </c>
      <c r="B32" s="2">
        <v>46065</v>
      </c>
      <c r="C32" s="2">
        <f t="shared" ref="C32" si="22">A32-189</f>
        <v>47446</v>
      </c>
      <c r="D32" s="1" t="s">
        <v>38</v>
      </c>
      <c r="E32" s="1">
        <f t="shared" si="0"/>
        <v>2030</v>
      </c>
      <c r="F32" s="3" t="s">
        <v>7</v>
      </c>
      <c r="G32" s="4">
        <v>0</v>
      </c>
    </row>
    <row r="33" spans="1:7" ht="14.4" x14ac:dyDescent="0.3">
      <c r="A33" s="2">
        <v>47665</v>
      </c>
      <c r="B33" s="2">
        <v>46065</v>
      </c>
      <c r="C33" s="2">
        <f t="shared" ref="C33" si="23">A33-12</f>
        <v>47653</v>
      </c>
      <c r="D33" s="1" t="s">
        <v>39</v>
      </c>
      <c r="E33" s="1">
        <f t="shared" si="0"/>
        <v>2030</v>
      </c>
      <c r="F33" s="3" t="s">
        <v>7</v>
      </c>
      <c r="G33" s="4">
        <v>0</v>
      </c>
    </row>
    <row r="34" spans="1:7" ht="14.4" x14ac:dyDescent="0.3">
      <c r="A34" s="2">
        <v>47696</v>
      </c>
      <c r="B34" s="2">
        <v>46065</v>
      </c>
      <c r="C34" s="2">
        <f t="shared" ref="C34" si="24">A34+56</f>
        <v>47752</v>
      </c>
      <c r="D34" s="1" t="s">
        <v>40</v>
      </c>
      <c r="E34" s="1">
        <f t="shared" si="0"/>
        <v>2030</v>
      </c>
      <c r="F34" s="3" t="s">
        <v>7</v>
      </c>
      <c r="G34" s="4">
        <v>0</v>
      </c>
    </row>
    <row r="35" spans="1:7" ht="14.4" x14ac:dyDescent="0.3">
      <c r="A35" s="2">
        <v>47727</v>
      </c>
      <c r="B35" s="2">
        <v>46065</v>
      </c>
      <c r="C35" s="2">
        <f t="shared" ref="C35" si="25">A35+-20</f>
        <v>47707</v>
      </c>
      <c r="D35" s="1" t="s">
        <v>41</v>
      </c>
      <c r="E35" s="1">
        <f t="shared" si="0"/>
        <v>2030</v>
      </c>
      <c r="F35" s="3" t="s">
        <v>7</v>
      </c>
      <c r="G35" s="4">
        <v>0</v>
      </c>
    </row>
    <row r="36" spans="1:7" ht="14.4" x14ac:dyDescent="0.3">
      <c r="A36" s="2">
        <v>47757</v>
      </c>
      <c r="B36" s="2">
        <v>46065</v>
      </c>
      <c r="C36" s="2">
        <f t="shared" ref="C36" si="26">A36+-50</f>
        <v>47707</v>
      </c>
      <c r="D36" s="1" t="s">
        <v>42</v>
      </c>
      <c r="E36" s="1">
        <f t="shared" si="0"/>
        <v>2030</v>
      </c>
      <c r="F36" s="3" t="s">
        <v>7</v>
      </c>
      <c r="G36" s="4">
        <v>0</v>
      </c>
    </row>
    <row r="37" spans="1:7" ht="14.4" x14ac:dyDescent="0.3">
      <c r="A37" s="2">
        <v>47788</v>
      </c>
      <c r="B37" s="2">
        <v>46065</v>
      </c>
      <c r="C37" s="2">
        <f t="shared" ref="C37" si="27">A37+100</f>
        <v>47888</v>
      </c>
      <c r="D37" s="1" t="s">
        <v>43</v>
      </c>
      <c r="E37" s="1">
        <f t="shared" si="0"/>
        <v>2030</v>
      </c>
      <c r="F37" s="3" t="s">
        <v>7</v>
      </c>
      <c r="G37" s="4">
        <v>0</v>
      </c>
    </row>
    <row r="38" spans="1:7" ht="14.4" x14ac:dyDescent="0.3">
      <c r="A38" s="2">
        <v>47818</v>
      </c>
      <c r="B38" s="2">
        <v>46065</v>
      </c>
      <c r="C38" s="2">
        <f t="shared" ref="C38" si="28">A38+70</f>
        <v>47888</v>
      </c>
      <c r="D38" s="1" t="s">
        <v>44</v>
      </c>
      <c r="E38" s="1">
        <f t="shared" si="0"/>
        <v>2030</v>
      </c>
      <c r="F38" s="3" t="s">
        <v>7</v>
      </c>
      <c r="G38" s="4">
        <v>0</v>
      </c>
    </row>
    <row r="39" spans="1:7" ht="14.4" x14ac:dyDescent="0.3">
      <c r="A39" s="2">
        <v>47849</v>
      </c>
      <c r="B39" s="2">
        <v>46065</v>
      </c>
      <c r="C39" s="2">
        <f t="shared" ref="C39" si="29">A39+300</f>
        <v>48149</v>
      </c>
      <c r="D39" s="1" t="s">
        <v>45</v>
      </c>
      <c r="E39" s="1">
        <f t="shared" si="0"/>
        <v>2031</v>
      </c>
      <c r="F39" s="3" t="s">
        <v>7</v>
      </c>
      <c r="G39" s="4">
        <v>0</v>
      </c>
    </row>
    <row r="40" spans="1:7" ht="14.4" x14ac:dyDescent="0.3">
      <c r="A40" s="2">
        <v>47880</v>
      </c>
      <c r="B40" s="2">
        <v>46065</v>
      </c>
      <c r="C40" s="2">
        <f t="shared" ref="C40" si="30">A40-189</f>
        <v>47691</v>
      </c>
      <c r="D40" s="1" t="s">
        <v>46</v>
      </c>
      <c r="E40" s="1">
        <f t="shared" si="0"/>
        <v>2031</v>
      </c>
      <c r="F40" s="3" t="s">
        <v>7</v>
      </c>
      <c r="G40" s="4">
        <v>0</v>
      </c>
    </row>
    <row r="41" spans="1:7" ht="14.4" x14ac:dyDescent="0.3">
      <c r="A41" s="2">
        <v>47908</v>
      </c>
      <c r="B41" s="2">
        <v>46065</v>
      </c>
      <c r="C41" s="2">
        <f t="shared" ref="C41" si="31">A41-12</f>
        <v>47896</v>
      </c>
      <c r="D41" s="1" t="s">
        <v>47</v>
      </c>
      <c r="E41" s="1">
        <f t="shared" si="0"/>
        <v>2031</v>
      </c>
      <c r="F41" s="3" t="s">
        <v>7</v>
      </c>
      <c r="G41" s="4">
        <v>0</v>
      </c>
    </row>
    <row r="42" spans="1:7" ht="14.4" x14ac:dyDescent="0.3">
      <c r="A42" s="2">
        <v>47939</v>
      </c>
      <c r="B42" s="2">
        <v>46065</v>
      </c>
      <c r="C42" s="2">
        <f t="shared" ref="C42" si="32">A42+56</f>
        <v>47995</v>
      </c>
      <c r="D42" s="1" t="s">
        <v>48</v>
      </c>
      <c r="E42" s="1">
        <f t="shared" si="0"/>
        <v>2031</v>
      </c>
      <c r="F42" s="3" t="s">
        <v>7</v>
      </c>
      <c r="G42" s="4">
        <v>0</v>
      </c>
    </row>
    <row r="43" spans="1:7" ht="14.4" x14ac:dyDescent="0.3">
      <c r="A43" s="2">
        <v>47969</v>
      </c>
      <c r="B43" s="2">
        <v>46065</v>
      </c>
      <c r="C43" s="2">
        <f t="shared" ref="C43" si="33">A43+-20</f>
        <v>47949</v>
      </c>
      <c r="D43" s="1" t="s">
        <v>49</v>
      </c>
      <c r="E43" s="1">
        <f t="shared" si="0"/>
        <v>2031</v>
      </c>
      <c r="F43" s="3" t="s">
        <v>7</v>
      </c>
      <c r="G43" s="4">
        <v>0</v>
      </c>
    </row>
    <row r="44" spans="1:7" ht="14.4" x14ac:dyDescent="0.3">
      <c r="A44" s="2">
        <v>48000</v>
      </c>
      <c r="B44" s="2">
        <v>46065</v>
      </c>
      <c r="C44" s="2">
        <f t="shared" ref="C44" si="34">A44+-50</f>
        <v>47950</v>
      </c>
      <c r="D44" s="1" t="s">
        <v>50</v>
      </c>
      <c r="E44" s="1">
        <f t="shared" si="0"/>
        <v>2031</v>
      </c>
      <c r="F44" s="3" t="s">
        <v>7</v>
      </c>
      <c r="G44" s="4">
        <v>0</v>
      </c>
    </row>
    <row r="45" spans="1:7" ht="14.4" x14ac:dyDescent="0.3">
      <c r="A45" s="2">
        <v>48030</v>
      </c>
      <c r="B45" s="2">
        <v>46065</v>
      </c>
      <c r="C45" s="2">
        <f t="shared" ref="C45" si="35">A45+100</f>
        <v>48130</v>
      </c>
      <c r="D45" s="1" t="s">
        <v>51</v>
      </c>
      <c r="E45" s="1">
        <f t="shared" si="0"/>
        <v>2031</v>
      </c>
      <c r="F45" s="3" t="s">
        <v>7</v>
      </c>
      <c r="G45" s="4">
        <v>0</v>
      </c>
    </row>
    <row r="46" spans="1:7" ht="14.4" x14ac:dyDescent="0.3">
      <c r="A46" s="2">
        <v>48061</v>
      </c>
      <c r="B46" s="2">
        <v>46065</v>
      </c>
      <c r="C46" s="2">
        <f t="shared" ref="C46" si="36">A46+70</f>
        <v>48131</v>
      </c>
      <c r="D46" s="1" t="s">
        <v>52</v>
      </c>
      <c r="E46" s="1">
        <f t="shared" si="0"/>
        <v>2031</v>
      </c>
      <c r="F46" s="3" t="s">
        <v>7</v>
      </c>
      <c r="G46" s="4">
        <v>0</v>
      </c>
    </row>
    <row r="47" spans="1:7" ht="14.4" x14ac:dyDescent="0.3">
      <c r="A47" s="2">
        <v>48092</v>
      </c>
      <c r="B47" s="2">
        <v>46065</v>
      </c>
      <c r="C47" s="2">
        <f t="shared" ref="C47" si="37">A47+300</f>
        <v>48392</v>
      </c>
      <c r="D47" s="1" t="s">
        <v>53</v>
      </c>
      <c r="E47" s="1">
        <f t="shared" si="0"/>
        <v>2031</v>
      </c>
      <c r="F47" s="3" t="s">
        <v>7</v>
      </c>
      <c r="G47" s="4">
        <v>0</v>
      </c>
    </row>
    <row r="48" spans="1:7" ht="14.4" x14ac:dyDescent="0.3">
      <c r="A48" s="2">
        <v>48122</v>
      </c>
      <c r="B48" s="2">
        <v>46065</v>
      </c>
      <c r="C48" s="2">
        <f t="shared" ref="C48" si="38">A48-189</f>
        <v>47933</v>
      </c>
      <c r="D48" s="1" t="s">
        <v>54</v>
      </c>
      <c r="E48" s="1">
        <f t="shared" si="0"/>
        <v>2031</v>
      </c>
      <c r="F48" s="3" t="s">
        <v>7</v>
      </c>
      <c r="G48" s="4">
        <v>0</v>
      </c>
    </row>
    <row r="49" spans="1:7" ht="14.4" x14ac:dyDescent="0.3">
      <c r="A49" s="2">
        <v>48153</v>
      </c>
      <c r="B49" s="2">
        <v>46065</v>
      </c>
      <c r="C49" s="2">
        <f t="shared" ref="C49" si="39">A49-12</f>
        <v>48141</v>
      </c>
      <c r="D49" s="1" t="s">
        <v>55</v>
      </c>
      <c r="E49" s="1">
        <f t="shared" si="0"/>
        <v>2031</v>
      </c>
      <c r="F49" s="3" t="s">
        <v>7</v>
      </c>
      <c r="G49" s="4">
        <v>0</v>
      </c>
    </row>
    <row r="50" spans="1:7" ht="14.4" x14ac:dyDescent="0.3">
      <c r="A50" s="2">
        <v>48183</v>
      </c>
      <c r="B50" s="2">
        <v>46065</v>
      </c>
      <c r="C50" s="2">
        <f t="shared" ref="C50" si="40">A50+56</f>
        <v>48239</v>
      </c>
      <c r="D50" s="1" t="s">
        <v>56</v>
      </c>
      <c r="E50" s="1">
        <f t="shared" si="0"/>
        <v>2031</v>
      </c>
      <c r="F50" s="3" t="s">
        <v>7</v>
      </c>
      <c r="G50" s="4">
        <v>0</v>
      </c>
    </row>
    <row r="51" spans="1:7" ht="14.4" x14ac:dyDescent="0.3">
      <c r="A51" s="2">
        <v>48214</v>
      </c>
      <c r="B51" s="2">
        <v>46065</v>
      </c>
      <c r="C51" s="2">
        <f t="shared" ref="C51" si="41">A51+-20</f>
        <v>48194</v>
      </c>
      <c r="D51" s="1" t="s">
        <v>57</v>
      </c>
      <c r="E51" s="1">
        <f t="shared" si="0"/>
        <v>2032</v>
      </c>
      <c r="F51" s="3" t="s">
        <v>7</v>
      </c>
      <c r="G51" s="4">
        <v>0</v>
      </c>
    </row>
    <row r="52" spans="1:7" ht="14.4" x14ac:dyDescent="0.3">
      <c r="A52" s="2">
        <v>48245</v>
      </c>
      <c r="B52" s="2">
        <v>46065</v>
      </c>
      <c r="C52" s="2">
        <f t="shared" ref="C52" si="42">A52+-50</f>
        <v>48195</v>
      </c>
      <c r="D52" s="1" t="s">
        <v>58</v>
      </c>
      <c r="E52" s="1">
        <f t="shared" si="0"/>
        <v>2032</v>
      </c>
      <c r="F52" s="3" t="s">
        <v>7</v>
      </c>
      <c r="G52" s="4">
        <v>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915e77-afcd-4f5e-9ebb-7de12dda698d" xsi:nil="true"/>
    <lcf76f155ced4ddcb4097134ff3c332f xmlns="d62ffb02-248d-462b-9e5a-6cfea69c14ba">
      <Terms xmlns="http://schemas.microsoft.com/office/infopath/2007/PartnerControls"/>
    </lcf76f155ced4ddcb4097134ff3c332f>
    <_dlc_DocId xmlns="82915e77-afcd-4f5e-9ebb-7de12dda698d">TS01957E072-1832883866-1256</_dlc_DocId>
    <_dlc_DocIdUrl xmlns="82915e77-afcd-4f5e-9ebb-7de12dda698d">
      <Url>https://prorailbv.sharepoint.com/teams/Sturenoprealisatie/_layouts/15/DocIdRedir.aspx?ID=TS01957E072-1832883866-1256</Url>
      <Description>TS01957E072-1832883866-1256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ED338D64819D4999D88056A9234650" ma:contentTypeVersion="14" ma:contentTypeDescription="Een nieuw document maken." ma:contentTypeScope="" ma:versionID="906a62ba06a94ef06936e05cfa45222d">
  <xsd:schema xmlns:xsd="http://www.w3.org/2001/XMLSchema" xmlns:xs="http://www.w3.org/2001/XMLSchema" xmlns:p="http://schemas.microsoft.com/office/2006/metadata/properties" xmlns:ns2="82915e77-afcd-4f5e-9ebb-7de12dda698d" xmlns:ns3="d62ffb02-248d-462b-9e5a-6cfea69c14ba" targetNamespace="http://schemas.microsoft.com/office/2006/metadata/properties" ma:root="true" ma:fieldsID="378ff0e8fdc641d248f2a7fc0c5db6f5" ns2:_="" ns3:_="">
    <xsd:import namespace="82915e77-afcd-4f5e-9ebb-7de12dda698d"/>
    <xsd:import namespace="d62ffb02-248d-462b-9e5a-6cfea69c14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915e77-afcd-4f5e-9ebb-7de12dda698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0af705f-ec1a-48b2-9384-7ef94c9e484a}" ma:internalName="TaxCatchAll" ma:showField="CatchAllData" ma:web="82915e77-afcd-4f5e-9ebb-7de12dda69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ffb02-248d-462b-9e5a-6cfea69c14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c2a34957-f4c5-4396-b3a3-e9c9104dfe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C458B3A-6074-47F9-AE11-25EED05537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244F55-88EC-4AA4-8190-285F0281E3F2}">
  <ds:schemaRefs>
    <ds:schemaRef ds:uri="http://schemas.microsoft.com/office/2006/metadata/properties"/>
    <ds:schemaRef ds:uri="http://schemas.microsoft.com/office/infopath/2007/PartnerControls"/>
    <ds:schemaRef ds:uri="82915e77-afcd-4f5e-9ebb-7de12dda698d"/>
    <ds:schemaRef ds:uri="d62ffb02-248d-462b-9e5a-6cfea69c14ba"/>
  </ds:schemaRefs>
</ds:datastoreItem>
</file>

<file path=customXml/itemProps3.xml><?xml version="1.0" encoding="utf-8"?>
<ds:datastoreItem xmlns:ds="http://schemas.openxmlformats.org/officeDocument/2006/customXml" ds:itemID="{99D50780-4938-416B-940D-6965F1667A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915e77-afcd-4f5e-9ebb-7de12dda698d"/>
    <ds:schemaRef ds:uri="d62ffb02-248d-462b-9e5a-6cfea69c14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D02AD7A-B5CE-47F2-B6C5-2C291B317D28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Bijl, W.M. (Wilfried)</dc:creator>
  <cp:lastModifiedBy>Bijl, W.M. (Wilfried)</cp:lastModifiedBy>
  <dcterms:created xsi:type="dcterms:W3CDTF">2026-03-24T12:36:15Z</dcterms:created>
  <dcterms:modified xsi:type="dcterms:W3CDTF">2026-03-25T12:27:53Z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e57bac-d225-40fb-8a9e-62b5be587a96_Enabled">
    <vt:lpwstr>true</vt:lpwstr>
  </property>
  <property fmtid="{D5CDD505-2E9C-101B-9397-08002B2CF9AE}" pid="3" name="MSIP_Label_24e57bac-d225-40fb-8a9e-62b5be587a96_SetDate">
    <vt:lpwstr>2026-03-24T12:36:39Z</vt:lpwstr>
  </property>
  <property fmtid="{D5CDD505-2E9C-101B-9397-08002B2CF9AE}" pid="4" name="MSIP_Label_24e57bac-d225-40fb-8a9e-62b5be587a96_Method">
    <vt:lpwstr>Standard</vt:lpwstr>
  </property>
  <property fmtid="{D5CDD505-2E9C-101B-9397-08002B2CF9AE}" pid="5" name="MSIP_Label_24e57bac-d225-40fb-8a9e-62b5be587a96_Name">
    <vt:lpwstr>Internal</vt:lpwstr>
  </property>
  <property fmtid="{D5CDD505-2E9C-101B-9397-08002B2CF9AE}" pid="6" name="MSIP_Label_24e57bac-d225-40fb-8a9e-62b5be587a96_SiteId">
    <vt:lpwstr>a398fcff-8d2b-4930-a7f7-e1c99a108d77</vt:lpwstr>
  </property>
  <property fmtid="{D5CDD505-2E9C-101B-9397-08002B2CF9AE}" pid="7" name="MSIP_Label_24e57bac-d225-40fb-8a9e-62b5be587a96_ActionId">
    <vt:lpwstr>6dbee199-ec53-4f05-9e59-e5402f2b9fc4</vt:lpwstr>
  </property>
  <property fmtid="{D5CDD505-2E9C-101B-9397-08002B2CF9AE}" pid="8" name="MSIP_Label_24e57bac-d225-40fb-8a9e-62b5be587a96_ContentBits">
    <vt:lpwstr>0</vt:lpwstr>
  </property>
  <property fmtid="{D5CDD505-2E9C-101B-9397-08002B2CF9AE}" pid="9" name="MSIP_Label_24e57bac-d225-40fb-8a9e-62b5be587a96_Tag">
    <vt:lpwstr>10, 3, 0, 1</vt:lpwstr>
  </property>
  <property fmtid="{D5CDD505-2E9C-101B-9397-08002B2CF9AE}" pid="10" name="ContentTypeId">
    <vt:lpwstr>0x010100F1ED338D64819D4999D88056A9234650</vt:lpwstr>
  </property>
  <property fmtid="{D5CDD505-2E9C-101B-9397-08002B2CF9AE}" pid="11" name="_dlc_DocIdItemGuid">
    <vt:lpwstr>a6561d8c-5c04-492e-a5e4-f993ae2148b3</vt:lpwstr>
  </property>
  <property fmtid="{D5CDD505-2E9C-101B-9397-08002B2CF9AE}" pid="12" name="MediaServiceImageTags">
    <vt:lpwstr/>
  </property>
</Properties>
</file>